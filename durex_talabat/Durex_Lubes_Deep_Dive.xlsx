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bes SKU level summary" sheetId="1" state="visible" r:id="rId3"/>
    <sheet name="Lubes Deep Div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<sst xmlns="http://schemas.openxmlformats.org/spreadsheetml/2006/main" count="260" uniqueCount="182">
  <si>
    <t xml:space="preserve">Category</t>
  </si>
  <si>
    <t xml:space="preserve">Lubes</t>
  </si>
  <si>
    <t xml:space="preserve">Values copy of the pivot in Talabat_Durex_cleaned_Analysis.xlsx (same cell positions), so the Deep Dive formulas resolve.</t>
  </si>
  <si>
    <t xml:space="preserve">ASP</t>
  </si>
  <si>
    <t xml:space="preserve">Column Labels</t>
  </si>
  <si>
    <t xml:space="preserve">Sum of Ordered Revenue</t>
  </si>
  <si>
    <t xml:space="preserve">Sum of Ordered Units</t>
  </si>
  <si>
    <t xml:space="preserve">Distinct Count of ASIN</t>
  </si>
  <si>
    <t xml:space="preserve">Total Sum of Ordered Revenue</t>
  </si>
  <si>
    <t xml:space="preserve">Total Sum of Ordered Units</t>
  </si>
  <si>
    <t xml:space="preserve">Total Distinct Count of ASIN</t>
  </si>
  <si>
    <t xml:space="preserve">2025 Total</t>
  </si>
  <si>
    <t xml:space="preserve">2026 Total</t>
  </si>
  <si>
    <t xml:space="preserve">Remarks</t>
  </si>
  <si>
    <t xml:space="preserve">Row Labels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</si>
  <si>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</si>
  <si>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</si>
  <si>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</si>
  <si>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</si>
  <si>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</si>
  <si>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</si>
  <si>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</si>
  <si>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</si>
  <si>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</si>
  <si>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</si>
  <si>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</si>
  <si>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</si>
  <si>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Live month</t>
  </si>
  <si>
    <t xml:space="preserve">50 ml</t>
  </si>
  <si>
    <t xml:space="preserve">Durex Play Cheeky Cherry Lube Gel, 50ml</t>
  </si>
  <si>
    <t xml:space="preserve">Durex Play Feel Lube Gel, 50ml</t>
  </si>
  <si>
    <t xml:space="preserve">Durex Play Tingle Lube Gel, 50ml</t>
  </si>
  <si>
    <t xml:space="preserve">Durex Maxima Lubricant Gel, 50ml</t>
  </si>
  <si>
    <t xml:space="preserve">200 ml</t>
  </si>
  <si>
    <t xml:space="preserve">Durex Play Massage 2-in-1 Lube Soothing Aloe Vera Gel, 200ml</t>
  </si>
  <si>
    <t xml:space="preserve">Durex Play Sensual Massage 2-in-1 Lube with Ylang Ylang Gel, 200ml</t>
  </si>
  <si>
    <t xml:space="preserve">100 ml</t>
  </si>
  <si>
    <t xml:space="preserve">Consistent instock/Sales issue, price is fixed, no change in price ever in a cream squeeze packaging, still not in stock</t>
  </si>
  <si>
    <t xml:space="preserve">Durex Naturals Pure Intimate Lubricant Gel, 100ml</t>
  </si>
  <si>
    <t xml:space="preserve">sales drop in Ramadan</t>
  </si>
  <si>
    <t xml:space="preserve">Grand Total</t>
  </si>
  <si>
    <t xml:space="preserve">200 ml has 3 variants- aloe, ylang ylang and guarana, guarana is not on talabat</t>
  </si>
  <si>
    <t xml:space="preserve">play has 5 variant in 50 ml- heat and stawberry not on talabat</t>
  </si>
  <si>
    <t xml:space="preserve">so intotal play has 8 variants- 5 on talabat</t>
  </si>
  <si>
    <t xml:space="preserve">aloevera sells more than ylang ylang in 200 ml</t>
  </si>
  <si>
    <t xml:space="preserve">huge difference in price of amazon vs talabat as of today- play almost 1.78x of amazon on talabat</t>
  </si>
  <si>
    <t xml:space="preserve">extra sensitive 100 ml on amazon, not on talabat</t>
  </si>
  <si>
    <t xml:space="preserve">amazon has multiple more variants which are not live on Talabat</t>
  </si>
  <si>
    <t xml:space="preserve">Durex Lubes on Talabat: SKU deep dive</t>
  </si>
  <si>
    <t xml:space="preserve">All numbers are formulas on 'Lubes SKU level summary' unless marked. Revenue is in the same unit as the source data. JA = Jan-Apr. H2'25 = Jul-Dec 2025 monthly average.</t>
  </si>
  <si>
    <t xml:space="preserve">A. SKU scorecard: YoY growth vs. the H2-2025 run rate</t>
  </si>
  <si>
    <t xml:space="preserve">SKU</t>
  </si>
  <si>
    <t xml:space="preserve">Pack</t>
  </si>
  <si>
    <t xml:space="preserve">Rev JA'25</t>
  </si>
  <si>
    <t xml:space="preserve">Rev JA'26</t>
  </si>
  <si>
    <t xml:space="preserve">YoY rev %</t>
  </si>
  <si>
    <t xml:space="preserve">Units JA'25</t>
  </si>
  <si>
    <t xml:space="preserve">Units JA'26</t>
  </si>
  <si>
    <t xml:space="preserve">YoY units %</t>
  </si>
  <si>
    <t xml:space="preserve">ASP JA'25</t>
  </si>
  <si>
    <t xml:space="preserve">ASP JA'26</t>
  </si>
  <si>
    <t xml:space="preserve">ASP chg %</t>
  </si>
  <si>
    <t xml:space="preserve">H2'25 avg rev / mo</t>
  </si>
  <si>
    <t xml:space="preserve">Apr'26 rev</t>
  </si>
  <si>
    <t xml:space="preserve">Apr'26 vs H2'25 avg</t>
  </si>
  <si>
    <t xml:space="preserve">Share of lubes rev JA'26</t>
  </si>
  <si>
    <t xml:space="preserve">Read</t>
  </si>
  <si>
    <t xml:space="preserve">Play Cheeky Cherry</t>
  </si>
  <si>
    <t xml:space="preserve">Hero SKU, about 1/3 of lubes. Growing and at its H2 level by April.</t>
  </si>
  <si>
    <t xml:space="preserve">Play Feel</t>
  </si>
  <si>
    <t xml:space="preserve">Fastest grower (+56% units YoY). Holding its H2 level.</t>
  </si>
  <si>
    <t xml:space="preserve">Play Tingle</t>
  </si>
  <si>
    <t xml:space="preserve">Growing YoY but softer than the other Play SKUs. ~10% below its H2 level.</t>
  </si>
  <si>
    <t xml:space="preserve">Maxima Lubricant Gel</t>
  </si>
  <si>
    <t xml:space="preserve">The only 50 ml SKU declining. ASP up 14% with no promo since Jan-26 (see B).</t>
  </si>
  <si>
    <t xml:space="preserve">Play Massage 2-in-1 Aloe Vera</t>
  </si>
  <si>
    <t xml:space="preserve">Out-sells Ylang but has the biggest fall vs H2 of any SKU.</t>
  </si>
  <si>
    <t xml:space="preserve">Play Massage 2-in-1 Ylang Ylang</t>
  </si>
  <si>
    <t xml:space="preserve">YoY flattered by a weak Jan-25 base (only 14 stores ranged it).</t>
  </si>
  <si>
    <t xml:space="preserve">Naturals Pure Intimate</t>
  </si>
  <si>
    <t xml:space="preserve">17 units in 16 months, 1 store at a time. Effectively not ranged.</t>
  </si>
  <si>
    <t xml:space="preserve">Total lubes</t>
  </si>
  <si>
    <t xml:space="preserve">Lubes are growing YoY; the gap is against the H2-25 run rate, not last year.</t>
  </si>
  <si>
    <t xml:space="preserve">B. Maxima 50 ml: price premium vs Play 50 ml, and its share of 50 ml units</t>
  </si>
  <si>
    <t xml:space="preserve">Metric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</si>
  <si>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</si>
  <si>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</si>
  <si>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</si>
  <si>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</si>
  <si>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</si>
  <si>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</si>
  <si>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</si>
  <si>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</si>
  <si>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</si>
  <si>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</si>
  <si>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</si>
  <si>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</si>
  <si>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</si>
  <si>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</si>
  <si>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</si>
  <si>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</si>
  <si>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Maxima ASP</t>
  </si>
  <si>
    <t xml:space="preserve">Play 50 ml blended ASP</t>
  </si>
  <si>
    <t xml:space="preserve">Maxima premium vs Play</t>
  </si>
  <si>
    <t xml:space="preserve">Maxima share of 50 ml units</t>
  </si>
  <si>
    <t xml:space="preserve">Play 50 ml units</t>
  </si>
  <si>
    <t xml:space="preserve">Maxima units</t>
  </si>
  <si>
    <t xml:space="preserve">Feb-25 order-level data shows 326.8 was already Maxima's full-price point (9 units); 285.3 was the regular promoted price (225 units). Since Jan-26 (and mostly in Dec-25) every unit sells at 326.8, so the promo looks switched off. Meanwhile Play 50 ml went down from ~272 to ~250. The premium widened from ~5% to ~30% and Maxima's share of 50 ml units fell from ~16% to ~10%.</t>
  </si>
  <si>
    <t xml:space="preserve">C. Ramadan effect on lubes units (your remark: "sales drop in Ramadan")</t>
  </si>
  <si>
    <t xml:space="preserve">Year</t>
  </si>
  <si>
    <t xml:space="preserve">Pre-Ramadan base</t>
  </si>
  <si>
    <t xml:space="preserve">Base definition</t>
  </si>
  <si>
    <t xml:space="preserve">Ramadan month(s)</t>
  </si>
  <si>
    <t xml:space="preserve">Ramadan units</t>
  </si>
  <si>
    <t xml:space="preserve">Dip vs base</t>
  </si>
  <si>
    <t xml:space="preserve">Post-Ramadan (Apr)</t>
  </si>
  <si>
    <t xml:space="preserve">Apr vs base</t>
  </si>
  <si>
    <t xml:space="preserve">2025</t>
  </si>
  <si>
    <t xml:space="preserve">Jan-Feb avg</t>
  </si>
  <si>
    <t xml:space="preserve">Mar-25 (Ramadan ~1-30 Mar)</t>
  </si>
  <si>
    <t xml:space="preserve">2026</t>
  </si>
  <si>
    <t xml:space="preserve">Jan</t>
  </si>
  <si>
    <t xml:space="preserve">Feb-Mar 26 avg (Ramadan ~18 Feb-19 Mar)</t>
  </si>
  <si>
    <t xml:space="preserve">Confirmed: Ramadan takes 13-18% off lubes units, and April has not fully recovered to the Jan-26 base yet. Ramadan 2027 is expected around 8 Feb - 9 Mar, so plan the pre-load and Eid visibility now.</t>
  </si>
  <si>
    <t xml:space="preserve">D. Store reach and velocity (Raw data: Location is only filled for Jan/Apr/May/Aug 2025)</t>
  </si>
  <si>
    <t xml:space="preserve">Stores Jan-25</t>
  </si>
  <si>
    <t xml:space="preserve">Stores Apr-25</t>
  </si>
  <si>
    <t xml:space="preserve">Stores May-25</t>
  </si>
  <si>
    <t xml:space="preserve">Stores Aug-25</t>
  </si>
  <si>
    <t xml:space="preserve">Units/store Jan-25</t>
  </si>
  <si>
    <t xml:space="preserve">Units/store Apr-25</t>
  </si>
  <si>
    <t xml:space="preserve">Units/store May-25</t>
  </si>
  <si>
    <t xml:space="preserve">Units/store Aug-25</t>
  </si>
  <si>
    <t xml:space="preserve">Reach Aug-25 (of 40 active)</t>
  </si>
  <si>
    <t xml:space="preserve">Active Durex stores (any SKU)</t>
  </si>
  <si>
    <t xml:space="preserve">Blue = hardcoded from 'Raw data' (distinct Location with &gt;=1 unit sold). Jan-25 includes 26 'Talabat Mart - Wellness' stores that sold only 73 Durex units in total and drop out after January. In 2025 the core SKUs sold in 90-100% of stores, so ranging was not the issue then. There is no store-level data for 2026, so ask Talabat for 2026 in-stock % by dark store before calling the decline a demand problem.</t>
  </si>
  <si>
    <t xml:space="preserve">E. Your remarks, checked against the data</t>
  </si>
  <si>
    <t xml:space="preserve">Your remark (col A, Lubes SKU level summary)</t>
  </si>
  <si>
    <t xml:space="preserve">What the data says</t>
  </si>
  <si>
    <t xml:space="preserve">Verdict</t>
  </si>
  <si>
    <t xml:space="preserve">So what / action</t>
  </si>
  <si>
    <t xml:space="preserve">Naturals 100 ml: consistent in-stock / sales issue, fixed price, never changes, still not in stock</t>
  </si>
  <si>
    <t xml:space="preserve">Sold in 9 of 16 months, 17 units total, in at most 1 store a month. ASP is flat at 667.9 (no promo ever). At ~6.7 per ml it is the most expensive lube per ml (50 ml ~5.0, 200 ml ~2.9).</t>
  </si>
  <si>
    <t xml:space="preserve">Confirmed</t>
  </si>
  <si>
    <t xml:space="preserve">Either get it properly ranged and in stock across all ~40 stores or swap the slot for a SKU that sells (e.g. Extra Sensitive 100 ml from Amazon). Do not let a dead listing hold the 100 ml slot.</t>
  </si>
  <si>
    <t xml:space="preserve">Sales drop in Ramadan</t>
  </si>
  <si>
    <t xml:space="preserve">Units fell 18% in Mar-25 vs Jan-Feb. In 2026 Feb-Mar averaged 13% below Jan.</t>
  </si>
  <si>
    <t xml:space="preserve">Part of the 2026 "decline" is seasonal. Compare April or ex-Ramadan months when sizing the real gap.</t>
  </si>
  <si>
    <t xml:space="preserve">200 ml has 3 variants (Aloe, Ylang Ylang, Guarana). Guarana is not on Talabat</t>
  </si>
  <si>
    <t xml:space="preserve">The two listed 200 ml SKUs are 20% of lubes revenue at ~2x the ASP of 50 ml, with ~3 units/store/month.</t>
  </si>
  <si>
    <t xml:space="preserve">Range gap</t>
  </si>
  <si>
    <t xml:space="preserve">List Guarana 200 ml. See sizing in F.</t>
  </si>
  <si>
    <t xml:space="preserve">Play has 5 variants in 50 ml; Heat and Strawberry are not on Talabat. 8 Play variants in total, 5 on Talabat</t>
  </si>
  <si>
    <t xml:space="preserve">The 3 listed Play 50 ml SKUs are ~70% of lubes revenue and growing +18% to +56% in units YoY. Maxima 50 ml is not a Play SKU, so the 5 of 8 count holds.</t>
  </si>
  <si>
    <t xml:space="preserve">List Heat and Strawberry 50 ml. The category is still growing YoY, so new variants have room. See F.</t>
  </si>
  <si>
    <t xml:space="preserve">Aloe Vera sells more than Ylang Ylang in 200 ml</t>
  </si>
  <si>
    <t xml:space="preserve">Aloe 497 vs Ylang 399 units JA'26 (+25%), and 1,957 vs 1,505 lifetime. But Aloe is ~16% below its H2-25 level in April while Ylang is ~11% below.</t>
  </si>
  <si>
    <t xml:space="preserve">Confirmed, with a watch-out</t>
  </si>
  <si>
    <t xml:space="preserve">Aloe is the bigger SKU but also the bigger leak right now. Check its 2026 in-stock first.</t>
  </si>
  <si>
    <t xml:space="preserve">Big price gap vs Amazon: Play on Talabat is ~1.78x Amazon today</t>
  </si>
  <si>
    <t xml:space="preserve">Cannot be checked from this file (Talabat only). On Talabat the Play 50 ml ASP is ~8% lower YoY (272 to 250), so any widening gap came from Amazon going down, not Talabat going up. Maxima is the exception: +14% on Talabat.</t>
  </si>
  <si>
    <t xml:space="preserve">Plausible, needs evidence</t>
  </si>
  <si>
    <t xml:space="preserve">Pull Amazon price history (Keepa) for the same SKUs to show when the gap opened, then line it up with the Talabat units dip. Use it as the price-parity ask in the JBP.</t>
  </si>
  <si>
    <t xml:space="preserve">Extra Sensitive 100 ml is on Amazon, not on Talabat. Amazon has many more variants not live on Talabat</t>
  </si>
  <si>
    <t xml:space="preserve">Talabat has 7 lube SKUs listed, of which 6 actually sell. The 100 ml slot is effectively empty.</t>
  </si>
  <si>
    <t xml:space="preserve">Build the must-have list from Amazon best-sellers and pitch it to Talabat as a range extension.</t>
  </si>
  <si>
    <t xml:space="preserve">F. Range-gap sizing (indicative): edit the yellow inputs</t>
  </si>
  <si>
    <t xml:space="preserve">Missing SKU</t>
  </si>
  <si>
    <t xml:space="preserve">Benchmark SKU</t>
  </si>
  <si>
    <t xml:space="preserve">Benchmark units / mo (JA'26)</t>
  </si>
  <si>
    <t xml:space="preserve">Velocity vs benchmark</t>
  </si>
  <si>
    <t xml:space="preserve">Cannibalisation</t>
  </si>
  <si>
    <t xml:space="preserve">Incremental rev / mo</t>
  </si>
  <si>
    <t xml:space="preserve">Incremental rev / yr</t>
  </si>
  <si>
    <t xml:space="preserve">Play Heat 50 ml</t>
  </si>
  <si>
    <t xml:space="preserve">Play Tingle (weakest Play 50 ml)</t>
  </si>
  <si>
    <t xml:space="preserve">Play Strawberry 50 ml</t>
  </si>
  <si>
    <t xml:space="preserve">Play Guarana 200 ml</t>
  </si>
  <si>
    <t xml:space="preserve">Play Ylang Ylang 200 ml</t>
  </si>
  <si>
    <t xml:space="preserve">Total</t>
  </si>
  <si>
    <t xml:space="preserve">&lt;- as % of the current lubes annual run rate</t>
  </si>
  <si>
    <t xml:space="preserve">Assumptions are illustrative and set by me, not taken from the data. Velocity: a new variant sells at 80% of the benchmark SKU. Cannibalisation: the share of its units taken from existing Play SKUs. The run-rate denominator is the last 10 months (Jul-25 to Apr-26), annualised.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</si>
</sst>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 * #,##0_ ;_ * \-#,##0_ ;_ * \-??_ ;_ @_ "/>
    <numFmt numFmtId="166" formatCode="0"/>
    <numFmt numFmtId="167" formatCode="#,##0;\(#,##0\);\-"/>
    <numFmt numFmtId="168" formatCode="0.0%;\(0.0%\);\-"/>
    <numFmt numFmtId="169" formatCode="#,##0.0;\(#,##0.0\);\-"/>
    <numFmt numFmtId="170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i val="true"/>
      <sz val="9"/>
      <name val="Aptos Narrow"/>
      <family val="0"/>
      <charset val="1"/>
    </font>
    <font>
      <b val="true"/>
      <sz val="11"/>
      <name val="Aptos Narrow"/>
      <family val="0"/>
      <charset val="1"/>
    </font>
    <font>
      <b val="true"/>
      <sz val="14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1"/>
      <color rgb="FF0000FF"/>
      <name val="Aptos Narrow"/>
      <family val="0"/>
      <charset val="1"/>
    </font>
    <font>
      <b val="true"/>
      <sz val="11"/>
      <color rgb="FF0000FF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8CBAD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.18"/>
    <col collapsed="false" customWidth="true" hidden="false" outlineLevel="0" max="2" min="2" style="0" width="59.45"/>
    <col collapsed="false" customWidth="true" hidden="false" outlineLevel="0" max="3" min="3" style="0" width="21.63"/>
    <col collapsed="false" customWidth="true" hidden="false" outlineLevel="0" max="11" min="11" style="0" width="10"/>
    <col collapsed="false" customWidth="true" hidden="false" outlineLevel="0" max="13" min="13" style="0" width="9.36"/>
    <col collapsed="false" customWidth="true" hidden="false" outlineLevel="0" max="14" min="14" style="0" width="9.45"/>
    <col collapsed="false" customWidth="true" hidden="false" outlineLevel="0" max="15" min="15" style="0" width="9.63"/>
    <col collapsed="false" customWidth="true" hidden="false" outlineLevel="0" max="20" min="20" style="0" width="9.63"/>
    <col collapsed="false" customWidth="true" hidden="false" outlineLevel="0" max="21" min="21" style="0" width="18.73"/>
    <col collapsed="false" customWidth="true" hidden="false" outlineLevel="0" max="22" min="22" style="0" width="8.18"/>
    <col collapsed="false" customWidth="true" hidden="false" outlineLevel="0" max="23" min="23" style="0" width="6.09"/>
    <col collapsed="false" customWidth="true" hidden="false" outlineLevel="0" max="28" min="28" style="0" width="6.54"/>
    <col collapsed="false" customWidth="true" hidden="false" outlineLevel="0" max="29" min="29" style="0" width="10"/>
    <col collapsed="false" customWidth="true" hidden="false" outlineLevel="0" max="30" min="30" style="0" width="7.45"/>
    <col collapsed="false" customWidth="true" hidden="false" outlineLevel="0" max="31" min="31" style="0" width="9.36"/>
    <col collapsed="false" customWidth="true" hidden="false" outlineLevel="0" max="32" min="32" style="0" width="9.45"/>
    <col collapsed="false" customWidth="true" hidden="false" outlineLevel="0" max="33" min="33" style="0" width="9.27"/>
    <col collapsed="false" customWidth="true" hidden="false" outlineLevel="0" max="34" min="34" style="0" width="7.18"/>
    <col collapsed="false" customWidth="true" hidden="false" outlineLevel="0" max="35" min="35" style="0" width="8.18"/>
    <col collapsed="false" customWidth="true" hidden="false" outlineLevel="0" max="36" min="36" style="0" width="6.09"/>
    <col collapsed="false" customWidth="true" hidden="false" outlineLevel="0" max="38" min="38" style="0" width="9.27"/>
    <col collapsed="false" customWidth="true" hidden="false" outlineLevel="0" max="39" min="39" style="0" width="19.45"/>
    <col collapsed="false" customWidth="true" hidden="false" outlineLevel="0" max="40" min="40" style="0" width="8.18"/>
    <col collapsed="false" customWidth="true" hidden="false" outlineLevel="0" max="41" min="41" style="0" width="6"/>
    <col collapsed="false" customWidth="true" hidden="false" outlineLevel="0" max="42" min="42" style="0" width="4.73"/>
    <col collapsed="false" customWidth="true" hidden="false" outlineLevel="0" max="43" min="43" style="0" width="4.18"/>
    <col collapsed="false" customWidth="true" hidden="false" outlineLevel="0" max="44" min="44" style="0" width="4.63"/>
    <col collapsed="false" customWidth="true" hidden="false" outlineLevel="0" max="45" min="45" style="0" width="4"/>
    <col collapsed="false" customWidth="true" hidden="false" outlineLevel="0" max="46" min="46" style="0" width="6.54"/>
    <col collapsed="false" customWidth="true" hidden="false" outlineLevel="0" max="47" min="47" style="0" width="10"/>
    <col collapsed="false" customWidth="true" hidden="false" outlineLevel="0" max="48" min="48" style="0" width="7.45"/>
    <col collapsed="false" customWidth="true" hidden="false" outlineLevel="0" max="49" min="49" style="0" width="9.36"/>
    <col collapsed="false" customWidth="true" hidden="false" outlineLevel="0" max="50" min="50" style="0" width="9.45"/>
    <col collapsed="false" customWidth="true" hidden="false" outlineLevel="0" max="51" min="51" style="0" width="9.27"/>
    <col collapsed="false" customWidth="true" hidden="false" outlineLevel="0" max="52" min="52" style="0" width="7.18"/>
    <col collapsed="false" customWidth="true" hidden="false" outlineLevel="0" max="53" min="53" style="0" width="8.18"/>
    <col collapsed="false" customWidth="true" hidden="false" outlineLevel="0" max="54" min="54" style="0" width="6"/>
    <col collapsed="false" customWidth="true" hidden="false" outlineLevel="0" max="55" min="55" style="0" width="4.73"/>
    <col collapsed="false" customWidth="true" hidden="false" outlineLevel="0" max="56" min="56" style="0" width="9.27"/>
    <col collapsed="false" customWidth="true" hidden="false" outlineLevel="0" max="57" min="57" style="0" width="26.18"/>
    <col collapsed="false" customWidth="true" hidden="false" outlineLevel="0" max="58" min="58" style="0" width="23.27"/>
    <col collapsed="false" customWidth="true" hidden="false" outlineLevel="0" max="59" min="59" style="0" width="24"/>
    <col collapsed="false" customWidth="true" hidden="false" outlineLevel="0" max="60" min="60" style="0" width="10.27"/>
  </cols>
  <sheetData>
    <row r="1" customFormat="false" ht="15" hidden="false" customHeight="false" outlineLevel="0" collapsed="false">
      <c r="B1" s="1" t="s">
        <v>0</v>
      </c>
      <c r="C1" s="1" t="s">
        <v>1</v>
      </c>
    </row>
    <row r="2" customFormat="false" ht="15" hidden="false" customHeight="false" outlineLevel="0" collapsed="false">
      <c r="A2" s="2" t="s">
        <v>2</v>
      </c>
      <c r="BI2" s="1" t="s">
        <v>3</v>
      </c>
    </row>
    <row r="3" customFormat="false" ht="15" hidden="false" customHeight="false" outlineLevel="0" collapsed="false">
      <c r="C3" s="1" t="s">
        <v>4</v>
      </c>
    </row>
    <row r="4" customFormat="false" ht="15" hidden="false" customHeight="false" outlineLevel="0" collapsed="false">
      <c r="C4" s="1" t="s">
        <v>5</v>
      </c>
      <c r="U4" s="1" t="s">
        <v>6</v>
      </c>
      <c r="AM4" s="1" t="s">
        <v>7</v>
      </c>
      <c r="BE4" s="1" t="s">
        <v>8</v>
      </c>
      <c r="BF4" s="1" t="s">
        <v>9</v>
      </c>
      <c r="BG4" s="1" t="s">
        <v>10</v>
      </c>
    </row>
    <row r="5" customFormat="false" ht="15" hidden="false" customHeight="false" outlineLevel="0" collapsed="false">
      <c r="C5" s="1" t="n">
        <v>2025</v>
      </c>
      <c r="O5" s="1" t="s">
        <v>11</v>
      </c>
      <c r="P5" s="1" t="n">
        <v>2026</v>
      </c>
      <c r="T5" s="1" t="s">
        <v>12</v>
      </c>
      <c r="U5" s="1" t="n">
        <v>2025</v>
      </c>
      <c r="AG5" s="1" t="s">
        <v>11</v>
      </c>
      <c r="AH5" s="1" t="n">
        <v>2026</v>
      </c>
      <c r="AL5" s="1" t="s">
        <v>12</v>
      </c>
      <c r="AM5" s="1" t="n">
        <v>2025</v>
      </c>
      <c r="AY5" s="1" t="s">
        <v>11</v>
      </c>
      <c r="AZ5" s="1" t="n">
        <v>2026</v>
      </c>
      <c r="BD5" s="1" t="s">
        <v>12</v>
      </c>
      <c r="BI5" s="3" t="n">
        <v>2025</v>
      </c>
      <c r="BU5" s="3" t="s">
        <v>11</v>
      </c>
      <c r="BV5" s="3" t="n">
        <v>2026</v>
      </c>
      <c r="BZ5" s="3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P6" s="1" t="s">
        <v>15</v>
      </c>
      <c r="Q6" s="1" t="s">
        <v>16</v>
      </c>
      <c r="R6" s="1" t="s">
        <v>17</v>
      </c>
      <c r="S6" s="1" t="s">
        <v>18</v>
      </c>
      <c r="U6" s="1" t="s">
        <v>15</v>
      </c>
      <c r="V6" s="1" t="s">
        <v>16</v>
      </c>
      <c r="W6" s="1" t="s">
        <v>17</v>
      </c>
      <c r="X6" s="1" t="s">
        <v>18</v>
      </c>
      <c r="Y6" s="1" t="s">
        <v>19</v>
      </c>
      <c r="Z6" s="1" t="s">
        <v>20</v>
      </c>
      <c r="AA6" s="1" t="s">
        <v>21</v>
      </c>
      <c r="AB6" s="1" t="s">
        <v>22</v>
      </c>
      <c r="AC6" s="1" t="s">
        <v>23</v>
      </c>
      <c r="AD6" s="1" t="s">
        <v>24</v>
      </c>
      <c r="AE6" s="1" t="s">
        <v>25</v>
      </c>
      <c r="AF6" s="1" t="s">
        <v>26</v>
      </c>
      <c r="AH6" s="1" t="s">
        <v>15</v>
      </c>
      <c r="AI6" s="1" t="s">
        <v>16</v>
      </c>
      <c r="AJ6" s="1" t="s">
        <v>17</v>
      </c>
      <c r="AK6" s="1" t="s">
        <v>18</v>
      </c>
      <c r="AM6" s="1" t="s">
        <v>15</v>
      </c>
      <c r="AN6" s="1" t="s">
        <v>16</v>
      </c>
      <c r="AO6" s="1" t="s">
        <v>17</v>
      </c>
      <c r="AP6" s="1" t="s">
        <v>18</v>
      </c>
      <c r="AQ6" s="1" t="s">
        <v>19</v>
      </c>
      <c r="AR6" s="1" t="s">
        <v>20</v>
      </c>
      <c r="AS6" s="1" t="s">
        <v>21</v>
      </c>
      <c r="AT6" s="1" t="s">
        <v>22</v>
      </c>
      <c r="AU6" s="1" t="s">
        <v>23</v>
      </c>
      <c r="AV6" s="1" t="s">
        <v>24</v>
      </c>
      <c r="AW6" s="1" t="s">
        <v>25</v>
      </c>
      <c r="AX6" s="1" t="s">
        <v>26</v>
      </c>
      <c r="AZ6" s="1" t="s">
        <v>15</v>
      </c>
      <c r="BA6" s="1" t="s">
        <v>16</v>
      </c>
      <c r="BB6" s="1" t="s">
        <v>17</v>
      </c>
      <c r="BC6" s="1" t="s">
        <v>18</v>
      </c>
      <c r="BH6" s="4" t="s">
        <v>27</v>
      </c>
      <c r="BI6" s="3" t="s">
        <v>15</v>
      </c>
      <c r="BJ6" s="3" t="s">
        <v>16</v>
      </c>
      <c r="BK6" s="3" t="s">
        <v>17</v>
      </c>
      <c r="BL6" s="3" t="s">
        <v>18</v>
      </c>
      <c r="BM6" s="3" t="s">
        <v>19</v>
      </c>
      <c r="BN6" s="3" t="s">
        <v>20</v>
      </c>
      <c r="BO6" s="3" t="s">
        <v>21</v>
      </c>
      <c r="BP6" s="3" t="s">
        <v>22</v>
      </c>
      <c r="BQ6" s="3" t="s">
        <v>23</v>
      </c>
      <c r="BR6" s="3" t="s">
        <v>24</v>
      </c>
      <c r="BS6" s="3" t="s">
        <v>25</v>
      </c>
      <c r="BT6" s="3" t="s">
        <v>26</v>
      </c>
      <c r="BV6" s="3" t="s">
        <v>15</v>
      </c>
      <c r="BW6" s="3" t="s">
        <v>16</v>
      </c>
      <c r="BX6" s="3" t="s">
        <v>17</v>
      </c>
      <c r="BY6" s="3" t="s">
        <v>18</v>
      </c>
    </row>
    <row r="7" customFormat="false" ht="15" hidden="false" customHeight="false" outlineLevel="0" collapsed="false">
      <c r="B7" s="1" t="s">
        <v>28</v>
      </c>
      <c r="C7" s="4" t="n">
        <v>436965.225</v>
      </c>
      <c r="D7" s="4" t="n">
        <v>438280.349999995</v>
      </c>
      <c r="E7" s="4" t="n">
        <v>358256.642857143</v>
      </c>
      <c r="F7" s="4" t="n">
        <v>461806.814285714</v>
      </c>
      <c r="G7" s="4" t="n">
        <v>519755.4</v>
      </c>
      <c r="H7" s="4" t="n">
        <v>528365.1</v>
      </c>
      <c r="I7" s="4" t="n">
        <v>542787.9</v>
      </c>
      <c r="J7" s="4" t="n">
        <v>549120.599980372</v>
      </c>
      <c r="K7" s="4" t="n">
        <v>531814.875000001</v>
      </c>
      <c r="L7" s="4" t="n">
        <v>566653.199999999</v>
      </c>
      <c r="M7" s="4" t="n">
        <v>536543.071428573</v>
      </c>
      <c r="N7" s="4" t="n">
        <v>513170.55</v>
      </c>
      <c r="O7" s="4" t="n">
        <v>5983519.72855179</v>
      </c>
      <c r="P7" s="4" t="n">
        <v>555408.150000001</v>
      </c>
      <c r="Q7" s="4" t="n">
        <v>469128.300000001</v>
      </c>
      <c r="R7" s="4" t="n">
        <v>486611.850000001</v>
      </c>
      <c r="S7" s="4" t="n">
        <v>529229.550000001</v>
      </c>
      <c r="T7" s="4" t="n">
        <v>2040377.85</v>
      </c>
      <c r="U7" s="4" t="n">
        <v>1637</v>
      </c>
      <c r="V7" s="4" t="n">
        <v>1598</v>
      </c>
      <c r="W7" s="4" t="n">
        <v>1305</v>
      </c>
      <c r="X7" s="4" t="n">
        <v>1719</v>
      </c>
      <c r="Y7" s="4" t="n">
        <v>1959</v>
      </c>
      <c r="Z7" s="4" t="n">
        <v>2083</v>
      </c>
      <c r="AA7" s="4" t="n">
        <v>2114</v>
      </c>
      <c r="AB7" s="4" t="n">
        <v>2135</v>
      </c>
      <c r="AC7" s="4" t="n">
        <v>1942</v>
      </c>
      <c r="AD7" s="4" t="n">
        <v>1996</v>
      </c>
      <c r="AE7" s="4" t="n">
        <v>2092</v>
      </c>
      <c r="AF7" s="4" t="n">
        <v>2010</v>
      </c>
      <c r="AG7" s="4" t="n">
        <v>22590</v>
      </c>
      <c r="AH7" s="4" t="n">
        <v>2152</v>
      </c>
      <c r="AI7" s="4" t="n">
        <v>1845</v>
      </c>
      <c r="AJ7" s="4" t="n">
        <v>1903</v>
      </c>
      <c r="AK7" s="4" t="n">
        <v>2050</v>
      </c>
      <c r="AL7" s="4" t="n">
        <v>7950</v>
      </c>
      <c r="AM7" s="4" t="n">
        <v>4</v>
      </c>
      <c r="AN7" s="4" t="n">
        <v>4</v>
      </c>
      <c r="AO7" s="4" t="n">
        <v>4</v>
      </c>
      <c r="AP7" s="4" t="n">
        <v>4</v>
      </c>
      <c r="AQ7" s="4" t="n">
        <v>4</v>
      </c>
      <c r="AR7" s="4" t="n">
        <v>4</v>
      </c>
      <c r="AS7" s="4" t="n">
        <v>4</v>
      </c>
      <c r="AT7" s="4" t="n">
        <v>4</v>
      </c>
      <c r="AU7" s="4" t="n">
        <v>4</v>
      </c>
      <c r="AV7" s="4" t="n">
        <v>4</v>
      </c>
      <c r="AW7" s="4" t="n">
        <v>4</v>
      </c>
      <c r="AX7" s="4" t="n">
        <v>4</v>
      </c>
      <c r="AY7" s="4" t="n">
        <v>4</v>
      </c>
      <c r="AZ7" s="4" t="n">
        <v>4</v>
      </c>
      <c r="BA7" s="4" t="n">
        <v>4</v>
      </c>
      <c r="BB7" s="4" t="n">
        <v>4</v>
      </c>
      <c r="BC7" s="4" t="n">
        <v>4</v>
      </c>
      <c r="BD7" s="4" t="n">
        <v>4</v>
      </c>
      <c r="BE7" s="4" t="n">
        <v>8023897.57855179</v>
      </c>
      <c r="BF7" s="4" t="n">
        <v>30540</v>
      </c>
      <c r="BG7" s="4" t="n">
        <v>4</v>
      </c>
      <c r="BI7" s="5" t="n">
        <v>266.930497861943</v>
      </c>
      <c r="BJ7" s="5" t="n">
        <v>274.268053817268</v>
      </c>
      <c r="BK7" s="5" t="n">
        <v>274.526163108922</v>
      </c>
      <c r="BL7" s="5" t="n">
        <v>268.648524889886</v>
      </c>
      <c r="BM7" s="5" t="n">
        <v>265.316692189893</v>
      </c>
      <c r="BN7" s="5" t="n">
        <v>253.655832933269</v>
      </c>
      <c r="BO7" s="5" t="n">
        <v>256.758703878902</v>
      </c>
      <c r="BP7" s="5" t="n">
        <v>257.199344253102</v>
      </c>
      <c r="BQ7" s="5" t="n">
        <v>273.849060247168</v>
      </c>
      <c r="BR7" s="5" t="n">
        <v>283.894388777555</v>
      </c>
      <c r="BS7" s="5" t="n">
        <v>256.473743512702</v>
      </c>
      <c r="BT7" s="5" t="n">
        <v>255.308731343284</v>
      </c>
      <c r="BU7" s="5" t="n">
        <v>264.874711312607</v>
      </c>
      <c r="BV7" s="5" t="n">
        <v>258.089289033458</v>
      </c>
      <c r="BW7" s="5" t="n">
        <v>254.270081300813</v>
      </c>
      <c r="BX7" s="5" t="n">
        <v>255.707750919601</v>
      </c>
      <c r="BY7" s="5" t="n">
        <v>258.160756097561</v>
      </c>
      <c r="BZ7" s="5" t="n">
        <v>256.651301886793</v>
      </c>
    </row>
    <row r="8" customFormat="false" ht="15" hidden="false" customHeight="false" outlineLevel="0" collapsed="false">
      <c r="B8" s="1" t="s">
        <v>29</v>
      </c>
      <c r="C8" s="4" t="n">
        <v>163893.525</v>
      </c>
      <c r="D8" s="4" t="n">
        <v>190113.824999999</v>
      </c>
      <c r="E8" s="4" t="n">
        <v>147475.214285714</v>
      </c>
      <c r="F8" s="4" t="n">
        <v>183417.360714286</v>
      </c>
      <c r="G8" s="4" t="n">
        <v>192663.075</v>
      </c>
      <c r="H8" s="4" t="n">
        <v>222321.525</v>
      </c>
      <c r="I8" s="4" t="n">
        <v>215518.35</v>
      </c>
      <c r="J8" s="4" t="n">
        <v>221302.500021668</v>
      </c>
      <c r="K8" s="4" t="n">
        <v>202765.125</v>
      </c>
      <c r="L8" s="4" t="n">
        <v>214731.75</v>
      </c>
      <c r="M8" s="4" t="n">
        <v>206600.571428574</v>
      </c>
      <c r="N8" s="4" t="n">
        <v>199010.55</v>
      </c>
      <c r="O8" s="4" t="n">
        <v>2359813.37145024</v>
      </c>
      <c r="P8" s="4" t="n">
        <v>216340.575</v>
      </c>
      <c r="Q8" s="4" t="n">
        <v>185002.575</v>
      </c>
      <c r="R8" s="4" t="n">
        <v>188382.525</v>
      </c>
      <c r="S8" s="4" t="n">
        <v>220476.9</v>
      </c>
      <c r="T8" s="4" t="n">
        <v>810202.574999999</v>
      </c>
      <c r="U8" s="4" t="n">
        <v>601</v>
      </c>
      <c r="V8" s="4" t="n">
        <v>700</v>
      </c>
      <c r="W8" s="4" t="n">
        <v>543</v>
      </c>
      <c r="X8" s="4" t="n">
        <v>680</v>
      </c>
      <c r="Y8" s="4" t="n">
        <v>721</v>
      </c>
      <c r="Z8" s="4" t="n">
        <v>893</v>
      </c>
      <c r="AA8" s="4" t="n">
        <v>854</v>
      </c>
      <c r="AB8" s="4" t="n">
        <v>874</v>
      </c>
      <c r="AC8" s="4" t="n">
        <v>698</v>
      </c>
      <c r="AD8" s="4" t="n">
        <v>732</v>
      </c>
      <c r="AE8" s="4" t="n">
        <v>804</v>
      </c>
      <c r="AF8" s="4" t="n">
        <v>785</v>
      </c>
      <c r="AG8" s="4" t="n">
        <v>8885</v>
      </c>
      <c r="AH8" s="4" t="n">
        <v>860</v>
      </c>
      <c r="AI8" s="4" t="n">
        <v>742</v>
      </c>
      <c r="AJ8" s="4" t="n">
        <v>759</v>
      </c>
      <c r="AK8" s="4" t="n">
        <v>873</v>
      </c>
      <c r="AL8" s="4" t="n">
        <v>3234</v>
      </c>
      <c r="AM8" s="4" t="n">
        <v>1</v>
      </c>
      <c r="AN8" s="4" t="n">
        <v>1</v>
      </c>
      <c r="AO8" s="4" t="n">
        <v>1</v>
      </c>
      <c r="AP8" s="4" t="n">
        <v>1</v>
      </c>
      <c r="AQ8" s="4" t="n">
        <v>1</v>
      </c>
      <c r="AR8" s="4" t="n">
        <v>1</v>
      </c>
      <c r="AS8" s="4" t="n">
        <v>1</v>
      </c>
      <c r="AT8" s="4" t="n">
        <v>1</v>
      </c>
      <c r="AU8" s="4" t="n">
        <v>1</v>
      </c>
      <c r="AV8" s="4" t="n">
        <v>1</v>
      </c>
      <c r="AW8" s="4" t="n">
        <v>1</v>
      </c>
      <c r="AX8" s="4" t="n">
        <v>1</v>
      </c>
      <c r="AY8" s="4" t="n">
        <v>1</v>
      </c>
      <c r="AZ8" s="4" t="n">
        <v>1</v>
      </c>
      <c r="BA8" s="4" t="n">
        <v>1</v>
      </c>
      <c r="BB8" s="4" t="n">
        <v>1</v>
      </c>
      <c r="BC8" s="4" t="n">
        <v>1</v>
      </c>
      <c r="BD8" s="4" t="n">
        <v>1</v>
      </c>
      <c r="BE8" s="4" t="n">
        <v>3170015.94645024</v>
      </c>
      <c r="BF8" s="4" t="n">
        <v>12119</v>
      </c>
      <c r="BG8" s="4" t="n">
        <v>1</v>
      </c>
      <c r="BH8" s="4" t="n">
        <v>16</v>
      </c>
      <c r="BI8" s="5" t="n">
        <v>272.701372712147</v>
      </c>
      <c r="BJ8" s="5" t="n">
        <v>271.591178571428</v>
      </c>
      <c r="BK8" s="5" t="n">
        <v>271.593396474612</v>
      </c>
      <c r="BL8" s="5" t="n">
        <v>269.731412815126</v>
      </c>
      <c r="BM8" s="5" t="n">
        <v>267.216470180305</v>
      </c>
      <c r="BN8" s="5" t="n">
        <v>248.960274356103</v>
      </c>
      <c r="BO8" s="5" t="n">
        <v>252.363407494145</v>
      </c>
      <c r="BP8" s="5" t="n">
        <v>253.206521763922</v>
      </c>
      <c r="BQ8" s="5" t="n">
        <v>290.494448424069</v>
      </c>
      <c r="BR8" s="5" t="n">
        <v>293.349385245902</v>
      </c>
      <c r="BS8" s="5" t="n">
        <v>256.965884861411</v>
      </c>
      <c r="BT8" s="5" t="n">
        <v>253.516624203821</v>
      </c>
      <c r="BU8" s="5" t="n">
        <v>265.59520218911</v>
      </c>
      <c r="BV8" s="5" t="n">
        <v>251.558808139535</v>
      </c>
      <c r="BW8" s="5" t="n">
        <v>249.329615902965</v>
      </c>
      <c r="BX8" s="5" t="n">
        <v>248.198320158102</v>
      </c>
      <c r="BY8" s="5" t="n">
        <v>252.550859106529</v>
      </c>
      <c r="BZ8" s="5" t="n">
        <v>250.526461038961</v>
      </c>
    </row>
    <row r="9" customFormat="false" ht="15" hidden="false" customHeight="false" outlineLevel="0" collapsed="false">
      <c r="B9" s="1" t="s">
        <v>30</v>
      </c>
      <c r="C9" s="4" t="n">
        <v>131352.9</v>
      </c>
      <c r="D9" s="4" t="n">
        <v>107639.4</v>
      </c>
      <c r="E9" s="4" t="n">
        <v>91599.2857142853</v>
      </c>
      <c r="F9" s="4" t="n">
        <v>124604.625</v>
      </c>
      <c r="G9" s="4" t="n">
        <v>151203.825</v>
      </c>
      <c r="H9" s="4" t="n">
        <v>115146.9</v>
      </c>
      <c r="I9" s="4" t="n">
        <v>145286.475</v>
      </c>
      <c r="J9" s="4" t="n">
        <v>157325.69997169</v>
      </c>
      <c r="K9" s="4" t="n">
        <v>190778.325</v>
      </c>
      <c r="L9" s="4" t="n">
        <v>208837.424999999</v>
      </c>
      <c r="M9" s="4" t="n">
        <v>170029.214285713</v>
      </c>
      <c r="N9" s="4" t="n">
        <v>169161.150000001</v>
      </c>
      <c r="O9" s="4" t="n">
        <v>1762965.22497169</v>
      </c>
      <c r="P9" s="4" t="n">
        <v>178601.025000001</v>
      </c>
      <c r="Q9" s="4" t="n">
        <v>152177.475000001</v>
      </c>
      <c r="R9" s="4" t="n">
        <v>165305.550000001</v>
      </c>
      <c r="S9" s="4" t="n">
        <v>170192.325000001</v>
      </c>
      <c r="T9" s="4" t="n">
        <v>666276.375000003</v>
      </c>
      <c r="U9" s="4" t="n">
        <v>532</v>
      </c>
      <c r="V9" s="4" t="n">
        <v>394</v>
      </c>
      <c r="W9" s="4" t="n">
        <v>335</v>
      </c>
      <c r="X9" s="4" t="n">
        <v>481</v>
      </c>
      <c r="Y9" s="4" t="n">
        <v>603</v>
      </c>
      <c r="Z9" s="4" t="n">
        <v>466</v>
      </c>
      <c r="AA9" s="4" t="n">
        <v>579</v>
      </c>
      <c r="AB9" s="4" t="n">
        <v>624</v>
      </c>
      <c r="AC9" s="4" t="n">
        <v>757</v>
      </c>
      <c r="AD9" s="4" t="n">
        <v>785</v>
      </c>
      <c r="AE9" s="4" t="n">
        <v>689</v>
      </c>
      <c r="AF9" s="4" t="n">
        <v>695</v>
      </c>
      <c r="AG9" s="4" t="n">
        <v>6940</v>
      </c>
      <c r="AH9" s="4" t="n">
        <v>721</v>
      </c>
      <c r="AI9" s="4" t="n">
        <v>628</v>
      </c>
      <c r="AJ9" s="4" t="n">
        <v>675</v>
      </c>
      <c r="AK9" s="4" t="n">
        <v>691</v>
      </c>
      <c r="AL9" s="4" t="n">
        <v>2715</v>
      </c>
      <c r="AM9" s="4" t="n">
        <v>1</v>
      </c>
      <c r="AN9" s="4" t="n">
        <v>1</v>
      </c>
      <c r="AO9" s="4" t="n">
        <v>1</v>
      </c>
      <c r="AP9" s="4" t="n">
        <v>1</v>
      </c>
      <c r="AQ9" s="4" t="n">
        <v>1</v>
      </c>
      <c r="AR9" s="4" t="n">
        <v>1</v>
      </c>
      <c r="AS9" s="4" t="n">
        <v>1</v>
      </c>
      <c r="AT9" s="4" t="n">
        <v>1</v>
      </c>
      <c r="AU9" s="4" t="n">
        <v>1</v>
      </c>
      <c r="AV9" s="4" t="n">
        <v>1</v>
      </c>
      <c r="AW9" s="4" t="n">
        <v>1</v>
      </c>
      <c r="AX9" s="4" t="n">
        <v>1</v>
      </c>
      <c r="AY9" s="4" t="n">
        <v>1</v>
      </c>
      <c r="AZ9" s="4" t="n">
        <v>1</v>
      </c>
      <c r="BA9" s="4" t="n">
        <v>1</v>
      </c>
      <c r="BB9" s="4" t="n">
        <v>1</v>
      </c>
      <c r="BC9" s="4" t="n">
        <v>1</v>
      </c>
      <c r="BD9" s="4" t="n">
        <v>1</v>
      </c>
      <c r="BE9" s="4" t="n">
        <v>2429241.59997169</v>
      </c>
      <c r="BF9" s="4" t="n">
        <v>9655</v>
      </c>
      <c r="BG9" s="4" t="n">
        <v>1</v>
      </c>
      <c r="BH9" s="4" t="n">
        <v>16</v>
      </c>
      <c r="BI9" s="5" t="n">
        <v>246.903947368421</v>
      </c>
      <c r="BJ9" s="5" t="n">
        <v>273.196446700508</v>
      </c>
      <c r="BK9" s="5" t="n">
        <v>273.430703624732</v>
      </c>
      <c r="BL9" s="5" t="n">
        <v>259.053274428274</v>
      </c>
      <c r="BM9" s="5" t="n">
        <v>250.752611940299</v>
      </c>
      <c r="BN9" s="5" t="n">
        <v>247.09635193133</v>
      </c>
      <c r="BO9" s="5" t="n">
        <v>250.926554404145</v>
      </c>
      <c r="BP9" s="5" t="n">
        <v>252.1245191854</v>
      </c>
      <c r="BQ9" s="5" t="n">
        <v>252.018923381771</v>
      </c>
      <c r="BR9" s="5" t="n">
        <v>266.034936305731</v>
      </c>
      <c r="BS9" s="5" t="n">
        <v>246.776798673023</v>
      </c>
      <c r="BT9" s="5" t="n">
        <v>243.397338129497</v>
      </c>
      <c r="BU9" s="5" t="n">
        <v>254.029571321569</v>
      </c>
      <c r="BV9" s="5" t="n">
        <v>247.712933425799</v>
      </c>
      <c r="BW9" s="5" t="n">
        <v>242.320820063695</v>
      </c>
      <c r="BX9" s="5" t="n">
        <v>244.897111111112</v>
      </c>
      <c r="BY9" s="5" t="n">
        <v>246.298589001449</v>
      </c>
      <c r="BZ9" s="5" t="n">
        <v>245.405662983427</v>
      </c>
    </row>
    <row r="10" customFormat="false" ht="15" hidden="false" customHeight="false" outlineLevel="0" collapsed="false">
      <c r="B10" s="1" t="s">
        <v>31</v>
      </c>
      <c r="C10" s="4" t="n">
        <v>66135.525</v>
      </c>
      <c r="D10" s="4" t="n">
        <v>71254.6499999999</v>
      </c>
      <c r="E10" s="4" t="n">
        <v>59774.1428571429</v>
      </c>
      <c r="F10" s="4" t="n">
        <v>73551.0821428572</v>
      </c>
      <c r="G10" s="4" t="n">
        <v>84851.625</v>
      </c>
      <c r="H10" s="4" t="n">
        <v>93442.875</v>
      </c>
      <c r="I10" s="4" t="n">
        <v>89486.325</v>
      </c>
      <c r="J10" s="4" t="n">
        <v>83103.1500462645</v>
      </c>
      <c r="K10" s="4" t="n">
        <v>65842.2000000001</v>
      </c>
      <c r="L10" s="4" t="n">
        <v>68184.3749999999</v>
      </c>
      <c r="M10" s="4" t="n">
        <v>80699.0714285717</v>
      </c>
      <c r="N10" s="4" t="n">
        <v>83893.95</v>
      </c>
      <c r="O10" s="4" t="n">
        <v>920218.971474836</v>
      </c>
      <c r="P10" s="4" t="n">
        <v>85635.0750000002</v>
      </c>
      <c r="Q10" s="4" t="n">
        <v>75416.1000000002</v>
      </c>
      <c r="R10" s="4" t="n">
        <v>67242.0000000001</v>
      </c>
      <c r="S10" s="4" t="n">
        <v>69610.7250000001</v>
      </c>
      <c r="T10" s="4" t="n">
        <v>297903.900000001</v>
      </c>
      <c r="U10" s="4" t="n">
        <v>243</v>
      </c>
      <c r="V10" s="4" t="n">
        <v>262</v>
      </c>
      <c r="W10" s="4" t="n">
        <v>220</v>
      </c>
      <c r="X10" s="4" t="n">
        <v>274</v>
      </c>
      <c r="Y10" s="4" t="n">
        <v>317</v>
      </c>
      <c r="Z10" s="4" t="n">
        <v>374</v>
      </c>
      <c r="AA10" s="4" t="n">
        <v>357</v>
      </c>
      <c r="AB10" s="4" t="n">
        <v>332</v>
      </c>
      <c r="AC10" s="4" t="n">
        <v>246</v>
      </c>
      <c r="AD10" s="4" t="n">
        <v>243</v>
      </c>
      <c r="AE10" s="4" t="n">
        <v>321</v>
      </c>
      <c r="AF10" s="4" t="n">
        <v>335</v>
      </c>
      <c r="AG10" s="4" t="n">
        <v>3524</v>
      </c>
      <c r="AH10" s="4" t="n">
        <v>342</v>
      </c>
      <c r="AI10" s="4" t="n">
        <v>302</v>
      </c>
      <c r="AJ10" s="4" t="n">
        <v>268</v>
      </c>
      <c r="AK10" s="4" t="n">
        <v>275</v>
      </c>
      <c r="AL10" s="4" t="n">
        <v>1187</v>
      </c>
      <c r="AM10" s="4" t="n">
        <v>1</v>
      </c>
      <c r="AN10" s="4" t="n">
        <v>1</v>
      </c>
      <c r="AO10" s="4" t="n">
        <v>1</v>
      </c>
      <c r="AP10" s="4" t="n">
        <v>1</v>
      </c>
      <c r="AQ10" s="4" t="n">
        <v>1</v>
      </c>
      <c r="AR10" s="4" t="n">
        <v>1</v>
      </c>
      <c r="AS10" s="4" t="n">
        <v>1</v>
      </c>
      <c r="AT10" s="4" t="n">
        <v>1</v>
      </c>
      <c r="AU10" s="4" t="n">
        <v>1</v>
      </c>
      <c r="AV10" s="4" t="n">
        <v>1</v>
      </c>
      <c r="AW10" s="4" t="n">
        <v>1</v>
      </c>
      <c r="AX10" s="4" t="n">
        <v>1</v>
      </c>
      <c r="AY10" s="4" t="n">
        <v>1</v>
      </c>
      <c r="AZ10" s="4" t="n">
        <v>1</v>
      </c>
      <c r="BA10" s="4" t="n">
        <v>1</v>
      </c>
      <c r="BB10" s="4" t="n">
        <v>1</v>
      </c>
      <c r="BC10" s="4" t="n">
        <v>1</v>
      </c>
      <c r="BD10" s="4" t="n">
        <v>1</v>
      </c>
      <c r="BE10" s="4" t="n">
        <v>1218122.87147484</v>
      </c>
      <c r="BF10" s="4" t="n">
        <v>4711</v>
      </c>
      <c r="BG10" s="4" t="n">
        <v>1</v>
      </c>
      <c r="BH10" s="4" t="n">
        <v>16</v>
      </c>
      <c r="BI10" s="5" t="n">
        <v>272.162654320988</v>
      </c>
      <c r="BJ10" s="5" t="n">
        <v>271.964312977099</v>
      </c>
      <c r="BK10" s="5" t="n">
        <v>271.70064935065</v>
      </c>
      <c r="BL10" s="5" t="n">
        <v>268.434606360793</v>
      </c>
      <c r="BM10" s="5" t="n">
        <v>267.670741324921</v>
      </c>
      <c r="BN10" s="5" t="n">
        <v>249.847259358289</v>
      </c>
      <c r="BO10" s="5" t="n">
        <v>250.661974789916</v>
      </c>
      <c r="BP10" s="5" t="n">
        <v>250.310692910435</v>
      </c>
      <c r="BQ10" s="5" t="n">
        <v>267.651219512195</v>
      </c>
      <c r="BR10" s="5" t="n">
        <v>280.594135802469</v>
      </c>
      <c r="BS10" s="5" t="n">
        <v>251.398976412996</v>
      </c>
      <c r="BT10" s="5" t="n">
        <v>250.429701492537</v>
      </c>
      <c r="BU10" s="5" t="n">
        <v>261.12910654791</v>
      </c>
      <c r="BV10" s="5" t="n">
        <v>250.394956140351</v>
      </c>
      <c r="BW10" s="5" t="n">
        <v>249.722185430464</v>
      </c>
      <c r="BX10" s="5" t="n">
        <v>250.902985074627</v>
      </c>
      <c r="BY10" s="5" t="n">
        <v>253.129909090909</v>
      </c>
      <c r="BZ10" s="5" t="n">
        <v>250.972114574558</v>
      </c>
    </row>
    <row r="11" customFormat="false" ht="15" hidden="false" customHeight="false" outlineLevel="0" collapsed="false">
      <c r="B11" s="1" t="s">
        <v>32</v>
      </c>
      <c r="C11" s="4" t="n">
        <v>75583.275</v>
      </c>
      <c r="D11" s="4" t="n">
        <v>69272.4750000002</v>
      </c>
      <c r="E11" s="4" t="n">
        <v>59408.0000000001</v>
      </c>
      <c r="F11" s="4" t="n">
        <v>80233.7464285714</v>
      </c>
      <c r="G11" s="4" t="n">
        <v>91036.875</v>
      </c>
      <c r="H11" s="4" t="n">
        <v>97453.7999999999</v>
      </c>
      <c r="I11" s="4" t="n">
        <v>92496.7499999999</v>
      </c>
      <c r="J11" s="4" t="n">
        <v>87389.24994075</v>
      </c>
      <c r="K11" s="4" t="n">
        <v>72429.225</v>
      </c>
      <c r="L11" s="4" t="n">
        <v>74899.6500000001</v>
      </c>
      <c r="M11" s="4" t="n">
        <v>79214.2142857139</v>
      </c>
      <c r="N11" s="4" t="n">
        <v>61104.9</v>
      </c>
      <c r="O11" s="4" t="n">
        <v>940522.160655036</v>
      </c>
      <c r="P11" s="4" t="n">
        <v>74831.4750000003</v>
      </c>
      <c r="Q11" s="4" t="n">
        <v>56532.15</v>
      </c>
      <c r="R11" s="4" t="n">
        <v>65681.7750000001</v>
      </c>
      <c r="S11" s="4" t="n">
        <v>68949.6000000001</v>
      </c>
      <c r="T11" s="4" t="n">
        <v>265995.000000001</v>
      </c>
      <c r="U11" s="4" t="n">
        <v>261</v>
      </c>
      <c r="V11" s="4" t="n">
        <v>242</v>
      </c>
      <c r="W11" s="4" t="n">
        <v>207</v>
      </c>
      <c r="X11" s="4" t="n">
        <v>284</v>
      </c>
      <c r="Y11" s="4" t="n">
        <v>318</v>
      </c>
      <c r="Z11" s="4" t="n">
        <v>350</v>
      </c>
      <c r="AA11" s="4" t="n">
        <v>324</v>
      </c>
      <c r="AB11" s="4" t="n">
        <v>305</v>
      </c>
      <c r="AC11" s="4" t="n">
        <v>241</v>
      </c>
      <c r="AD11" s="4" t="n">
        <v>236</v>
      </c>
      <c r="AE11" s="4" t="n">
        <v>278</v>
      </c>
      <c r="AF11" s="4" t="n">
        <v>195</v>
      </c>
      <c r="AG11" s="4" t="n">
        <v>3241</v>
      </c>
      <c r="AH11" s="4" t="n">
        <v>229</v>
      </c>
      <c r="AI11" s="4" t="n">
        <v>173</v>
      </c>
      <c r="AJ11" s="4" t="n">
        <v>201</v>
      </c>
      <c r="AK11" s="4" t="n">
        <v>211</v>
      </c>
      <c r="AL11" s="4" t="n">
        <v>814</v>
      </c>
      <c r="AM11" s="4" t="n">
        <v>1</v>
      </c>
      <c r="AN11" s="4" t="n">
        <v>1</v>
      </c>
      <c r="AO11" s="4" t="n">
        <v>1</v>
      </c>
      <c r="AP11" s="4" t="n">
        <v>1</v>
      </c>
      <c r="AQ11" s="4" t="n">
        <v>1</v>
      </c>
      <c r="AR11" s="4" t="n">
        <v>1</v>
      </c>
      <c r="AS11" s="4" t="n">
        <v>1</v>
      </c>
      <c r="AT11" s="4" t="n">
        <v>1</v>
      </c>
      <c r="AU11" s="4" t="n">
        <v>1</v>
      </c>
      <c r="AV11" s="4" t="n">
        <v>1</v>
      </c>
      <c r="AW11" s="4" t="n">
        <v>1</v>
      </c>
      <c r="AX11" s="4" t="n">
        <v>1</v>
      </c>
      <c r="AY11" s="4" t="n">
        <v>1</v>
      </c>
      <c r="AZ11" s="4" t="n">
        <v>1</v>
      </c>
      <c r="BA11" s="4" t="n">
        <v>1</v>
      </c>
      <c r="BB11" s="4" t="n">
        <v>1</v>
      </c>
      <c r="BC11" s="4" t="n">
        <v>1</v>
      </c>
      <c r="BD11" s="4" t="n">
        <v>1</v>
      </c>
      <c r="BE11" s="4" t="n">
        <v>1206517.16065504</v>
      </c>
      <c r="BF11" s="4" t="n">
        <v>4055</v>
      </c>
      <c r="BG11" s="4" t="n">
        <v>1</v>
      </c>
      <c r="BH11" s="4" t="n">
        <v>16</v>
      </c>
      <c r="BI11" s="5" t="n">
        <v>289.591091954023</v>
      </c>
      <c r="BJ11" s="5" t="n">
        <v>286.249896694216</v>
      </c>
      <c r="BK11" s="5" t="n">
        <v>286.995169082126</v>
      </c>
      <c r="BL11" s="5" t="n">
        <v>282.513191649899</v>
      </c>
      <c r="BM11" s="5" t="n">
        <v>286.279481132076</v>
      </c>
      <c r="BN11" s="5" t="n">
        <v>278.439428571428</v>
      </c>
      <c r="BO11" s="5" t="n">
        <v>285.483796296296</v>
      </c>
      <c r="BP11" s="5" t="n">
        <v>286.522130953279</v>
      </c>
      <c r="BQ11" s="5" t="n">
        <v>300.536203319502</v>
      </c>
      <c r="BR11" s="5" t="n">
        <v>317.371398305085</v>
      </c>
      <c r="BS11" s="5" t="n">
        <v>284.943216855086</v>
      </c>
      <c r="BT11" s="5" t="n">
        <v>313.358461538462</v>
      </c>
      <c r="BU11" s="5" t="n">
        <v>290.195051112322</v>
      </c>
      <c r="BV11" s="5" t="n">
        <v>326.775000000001</v>
      </c>
      <c r="BW11" s="5" t="n">
        <v>326.775433526012</v>
      </c>
      <c r="BX11" s="5" t="n">
        <v>326.775000000001</v>
      </c>
      <c r="BY11" s="5" t="n">
        <v>326.775355450238</v>
      </c>
      <c r="BZ11" s="5" t="n">
        <v>326.775184275185</v>
      </c>
    </row>
    <row r="12" customFormat="false" ht="15" hidden="false" customHeight="false" outlineLevel="0" collapsed="false">
      <c r="B12" s="1" t="s">
        <v>33</v>
      </c>
      <c r="C12" s="4" t="n">
        <v>72232.95</v>
      </c>
      <c r="D12" s="4" t="n">
        <v>103038.825</v>
      </c>
      <c r="E12" s="4" t="n">
        <v>86856.5714285715</v>
      </c>
      <c r="F12" s="4" t="n">
        <v>124507.992857143</v>
      </c>
      <c r="G12" s="4" t="n">
        <v>125493.225</v>
      </c>
      <c r="H12" s="4" t="n">
        <v>139249.2</v>
      </c>
      <c r="I12" s="4" t="n">
        <v>119585.025</v>
      </c>
      <c r="J12" s="4" t="n">
        <v>146843.549932973</v>
      </c>
      <c r="K12" s="4" t="n">
        <v>132972.6</v>
      </c>
      <c r="L12" s="4" t="n">
        <v>143710.95</v>
      </c>
      <c r="M12" s="4" t="n">
        <v>151327</v>
      </c>
      <c r="N12" s="4" t="n">
        <v>159948.15</v>
      </c>
      <c r="O12" s="4" t="n">
        <v>1505766.03921869</v>
      </c>
      <c r="P12" s="4" t="n">
        <v>138956.325</v>
      </c>
      <c r="Q12" s="4" t="n">
        <v>124647.675</v>
      </c>
      <c r="R12" s="4" t="n">
        <v>126231.45</v>
      </c>
      <c r="S12" s="4" t="n">
        <v>122746.65</v>
      </c>
      <c r="T12" s="4" t="n">
        <v>512582.1</v>
      </c>
      <c r="U12" s="4" t="n">
        <v>123</v>
      </c>
      <c r="V12" s="4" t="n">
        <v>171</v>
      </c>
      <c r="W12" s="4" t="n">
        <v>143</v>
      </c>
      <c r="X12" s="4" t="n">
        <v>211</v>
      </c>
      <c r="Y12" s="4" t="n">
        <v>209</v>
      </c>
      <c r="Z12" s="4" t="n">
        <v>243</v>
      </c>
      <c r="AA12" s="4" t="n">
        <v>209</v>
      </c>
      <c r="AB12" s="4" t="n">
        <v>256</v>
      </c>
      <c r="AC12" s="4" t="n">
        <v>222</v>
      </c>
      <c r="AD12" s="4" t="n">
        <v>231</v>
      </c>
      <c r="AE12" s="4" t="n">
        <v>266</v>
      </c>
      <c r="AF12" s="4" t="n">
        <v>282</v>
      </c>
      <c r="AG12" s="4" t="n">
        <v>2566</v>
      </c>
      <c r="AH12" s="4" t="n">
        <v>242</v>
      </c>
      <c r="AI12" s="4" t="n">
        <v>218</v>
      </c>
      <c r="AJ12" s="4" t="n">
        <v>223</v>
      </c>
      <c r="AK12" s="4" t="n">
        <v>213</v>
      </c>
      <c r="AL12" s="4" t="n">
        <v>896</v>
      </c>
      <c r="AM12" s="4" t="n">
        <v>2</v>
      </c>
      <c r="AN12" s="4" t="n">
        <v>2</v>
      </c>
      <c r="AO12" s="4" t="n">
        <v>2</v>
      </c>
      <c r="AP12" s="4" t="n">
        <v>2</v>
      </c>
      <c r="AQ12" s="4" t="n">
        <v>2</v>
      </c>
      <c r="AR12" s="4" t="n">
        <v>2</v>
      </c>
      <c r="AS12" s="4" t="n">
        <v>2</v>
      </c>
      <c r="AT12" s="4" t="n">
        <v>2</v>
      </c>
      <c r="AU12" s="4" t="n">
        <v>2</v>
      </c>
      <c r="AV12" s="4" t="n">
        <v>2</v>
      </c>
      <c r="AW12" s="4" t="n">
        <v>2</v>
      </c>
      <c r="AX12" s="4" t="n">
        <v>2</v>
      </c>
      <c r="AY12" s="4" t="n">
        <v>2</v>
      </c>
      <c r="AZ12" s="4" t="n">
        <v>2</v>
      </c>
      <c r="BA12" s="4" t="n">
        <v>2</v>
      </c>
      <c r="BB12" s="4" t="n">
        <v>2</v>
      </c>
      <c r="BC12" s="4" t="n">
        <v>2</v>
      </c>
      <c r="BD12" s="4" t="n">
        <v>2</v>
      </c>
      <c r="BE12" s="4" t="n">
        <v>2018348.13921869</v>
      </c>
      <c r="BF12" s="4" t="n">
        <v>3462</v>
      </c>
      <c r="BG12" s="4" t="n">
        <v>2</v>
      </c>
      <c r="BI12" s="5" t="n">
        <v>587.259756097561</v>
      </c>
      <c r="BJ12" s="5" t="n">
        <v>602.566228070176</v>
      </c>
      <c r="BK12" s="5" t="n">
        <v>607.388611388612</v>
      </c>
      <c r="BL12" s="5" t="n">
        <v>590.085274204469</v>
      </c>
      <c r="BM12" s="5" t="n">
        <v>600.446052631579</v>
      </c>
      <c r="BN12" s="5" t="n">
        <v>573.041975308642</v>
      </c>
      <c r="BO12" s="5" t="n">
        <v>572.177153110048</v>
      </c>
      <c r="BP12" s="5" t="n">
        <v>573.607616925674</v>
      </c>
      <c r="BQ12" s="5" t="n">
        <v>598.975675675676</v>
      </c>
      <c r="BR12" s="5" t="n">
        <v>622.125324675325</v>
      </c>
      <c r="BS12" s="5" t="n">
        <v>568.8984962406</v>
      </c>
      <c r="BT12" s="5" t="n">
        <v>567.192021276596</v>
      </c>
      <c r="BU12" s="5" t="n">
        <v>586.814512555996</v>
      </c>
      <c r="BV12" s="5" t="n">
        <v>574.199690082645</v>
      </c>
      <c r="BW12" s="5" t="n">
        <v>571.778325688074</v>
      </c>
      <c r="BX12" s="5" t="n">
        <v>566.060313901346</v>
      </c>
      <c r="BY12" s="5" t="n">
        <v>576.275352112676</v>
      </c>
      <c r="BZ12" s="5" t="n">
        <v>572.078236607143</v>
      </c>
    </row>
    <row r="13" customFormat="false" ht="15" hidden="false" customHeight="false" outlineLevel="0" collapsed="false">
      <c r="B13" s="1" t="s">
        <v>34</v>
      </c>
      <c r="C13" s="4" t="n">
        <v>56886.375</v>
      </c>
      <c r="D13" s="4" t="n">
        <v>47716.1250000001</v>
      </c>
      <c r="E13" s="4" t="n">
        <v>53390.8571428572</v>
      </c>
      <c r="F13" s="4" t="n">
        <v>68904.0642857143</v>
      </c>
      <c r="G13" s="4" t="n">
        <v>67924.275</v>
      </c>
      <c r="H13" s="4" t="n">
        <v>80845.1250000001</v>
      </c>
      <c r="I13" s="4" t="n">
        <v>76118.7</v>
      </c>
      <c r="J13" s="4" t="n">
        <v>78620.174964495</v>
      </c>
      <c r="K13" s="4" t="n">
        <v>70155.5249999999</v>
      </c>
      <c r="L13" s="4" t="n">
        <v>77440.275</v>
      </c>
      <c r="M13" s="4" t="n">
        <v>90358.4285714283</v>
      </c>
      <c r="N13" s="4" t="n">
        <v>86432.6250000001</v>
      </c>
      <c r="O13" s="4" t="n">
        <v>854792.549964495</v>
      </c>
      <c r="P13" s="4" t="n">
        <v>87299.25</v>
      </c>
      <c r="Q13" s="4" t="n">
        <v>66846.075</v>
      </c>
      <c r="R13" s="4" t="n">
        <v>63814.725</v>
      </c>
      <c r="S13" s="4" t="n">
        <v>67394.475</v>
      </c>
      <c r="T13" s="4" t="n">
        <v>285354.525</v>
      </c>
      <c r="U13" s="4" t="n">
        <v>97</v>
      </c>
      <c r="V13" s="4" t="n">
        <v>80</v>
      </c>
      <c r="W13" s="4" t="n">
        <v>88</v>
      </c>
      <c r="X13" s="4" t="n">
        <v>117</v>
      </c>
      <c r="Y13" s="4" t="n">
        <v>113</v>
      </c>
      <c r="Z13" s="4" t="n">
        <v>141</v>
      </c>
      <c r="AA13" s="4" t="n">
        <v>133</v>
      </c>
      <c r="AB13" s="4" t="n">
        <v>137</v>
      </c>
      <c r="AC13" s="4" t="n">
        <v>117</v>
      </c>
      <c r="AD13" s="4" t="n">
        <v>125</v>
      </c>
      <c r="AE13" s="4" t="n">
        <v>159</v>
      </c>
      <c r="AF13" s="4" t="n">
        <v>153</v>
      </c>
      <c r="AG13" s="4" t="n">
        <v>1460</v>
      </c>
      <c r="AH13" s="4" t="n">
        <v>152</v>
      </c>
      <c r="AI13" s="4" t="n">
        <v>117</v>
      </c>
      <c r="AJ13" s="4" t="n">
        <v>111</v>
      </c>
      <c r="AK13" s="4" t="n">
        <v>117</v>
      </c>
      <c r="AL13" s="4" t="n">
        <v>497</v>
      </c>
      <c r="AM13" s="4" t="n">
        <v>1</v>
      </c>
      <c r="AN13" s="4" t="n">
        <v>1</v>
      </c>
      <c r="AO13" s="4" t="n">
        <v>1</v>
      </c>
      <c r="AP13" s="4" t="n">
        <v>1</v>
      </c>
      <c r="AQ13" s="4" t="n">
        <v>1</v>
      </c>
      <c r="AR13" s="4" t="n">
        <v>1</v>
      </c>
      <c r="AS13" s="4" t="n">
        <v>1</v>
      </c>
      <c r="AT13" s="4" t="n">
        <v>1</v>
      </c>
      <c r="AU13" s="4" t="n">
        <v>1</v>
      </c>
      <c r="AV13" s="4" t="n">
        <v>1</v>
      </c>
      <c r="AW13" s="4" t="n">
        <v>1</v>
      </c>
      <c r="AX13" s="4" t="n">
        <v>1</v>
      </c>
      <c r="AY13" s="4" t="n">
        <v>1</v>
      </c>
      <c r="AZ13" s="4" t="n">
        <v>1</v>
      </c>
      <c r="BA13" s="4" t="n">
        <v>1</v>
      </c>
      <c r="BB13" s="4" t="n">
        <v>1</v>
      </c>
      <c r="BC13" s="4" t="n">
        <v>1</v>
      </c>
      <c r="BD13" s="4" t="n">
        <v>1</v>
      </c>
      <c r="BE13" s="4" t="n">
        <v>1140147.0749645</v>
      </c>
      <c r="BF13" s="4" t="n">
        <v>1957</v>
      </c>
      <c r="BG13" s="4" t="n">
        <v>1</v>
      </c>
      <c r="BH13" s="4" t="n">
        <v>16</v>
      </c>
      <c r="BI13" s="5" t="n">
        <v>586.457474226804</v>
      </c>
      <c r="BJ13" s="5" t="n">
        <v>596.451562500001</v>
      </c>
      <c r="BK13" s="5" t="n">
        <v>606.714285714287</v>
      </c>
      <c r="BL13" s="5" t="n">
        <v>588.923626373626</v>
      </c>
      <c r="BM13" s="5" t="n">
        <v>601.099778761062</v>
      </c>
      <c r="BN13" s="5" t="n">
        <v>573.369680851064</v>
      </c>
      <c r="BO13" s="5" t="n">
        <v>572.321052631579</v>
      </c>
      <c r="BP13" s="5" t="n">
        <v>573.869890251788</v>
      </c>
      <c r="BQ13" s="5" t="n">
        <v>599.619871794871</v>
      </c>
      <c r="BR13" s="5" t="n">
        <v>619.5222</v>
      </c>
      <c r="BS13" s="5" t="n">
        <v>568.292003593889</v>
      </c>
      <c r="BT13" s="5" t="n">
        <v>564.919117647059</v>
      </c>
      <c r="BU13" s="5" t="n">
        <v>585.47434929075</v>
      </c>
      <c r="BV13" s="5" t="n">
        <v>574.337171052632</v>
      </c>
      <c r="BW13" s="5" t="n">
        <v>571.333974358975</v>
      </c>
      <c r="BX13" s="5" t="n">
        <v>574.907432432433</v>
      </c>
      <c r="BY13" s="5" t="n">
        <v>576.021153846154</v>
      </c>
      <c r="BZ13" s="5" t="n">
        <v>574.153973843059</v>
      </c>
    </row>
    <row r="14" customFormat="false" ht="15" hidden="false" customHeight="false" outlineLevel="0" collapsed="false">
      <c r="B14" s="1" t="s">
        <v>35</v>
      </c>
      <c r="C14" s="4" t="n">
        <v>15346.575</v>
      </c>
      <c r="D14" s="4" t="n">
        <v>55322.7</v>
      </c>
      <c r="E14" s="4" t="n">
        <v>33465.7142857143</v>
      </c>
      <c r="F14" s="4" t="n">
        <v>55603.9285714286</v>
      </c>
      <c r="G14" s="4" t="n">
        <v>57568.95</v>
      </c>
      <c r="H14" s="4" t="n">
        <v>58404.075</v>
      </c>
      <c r="I14" s="4" t="n">
        <v>43466.325</v>
      </c>
      <c r="J14" s="4" t="n">
        <v>68223.3749684775</v>
      </c>
      <c r="K14" s="4" t="n">
        <v>62817.0750000001</v>
      </c>
      <c r="L14" s="4" t="n">
        <v>66270.6749999999</v>
      </c>
      <c r="M14" s="4" t="n">
        <v>60968.5714285714</v>
      </c>
      <c r="N14" s="4" t="n">
        <v>73515.5249999999</v>
      </c>
      <c r="O14" s="4" t="n">
        <v>650973.489254192</v>
      </c>
      <c r="P14" s="4" t="n">
        <v>51657.075</v>
      </c>
      <c r="Q14" s="4" t="n">
        <v>57801.6</v>
      </c>
      <c r="R14" s="4" t="n">
        <v>62416.725</v>
      </c>
      <c r="S14" s="4" t="n">
        <v>55352.175</v>
      </c>
      <c r="T14" s="4" t="n">
        <v>227227.575</v>
      </c>
      <c r="U14" s="4" t="n">
        <v>26</v>
      </c>
      <c r="V14" s="4" t="n">
        <v>91</v>
      </c>
      <c r="W14" s="4" t="n">
        <v>55</v>
      </c>
      <c r="X14" s="4" t="n">
        <v>94</v>
      </c>
      <c r="Y14" s="4" t="n">
        <v>96</v>
      </c>
      <c r="Z14" s="4" t="n">
        <v>102</v>
      </c>
      <c r="AA14" s="4" t="n">
        <v>76</v>
      </c>
      <c r="AB14" s="4" t="n">
        <v>119</v>
      </c>
      <c r="AC14" s="4" t="n">
        <v>105</v>
      </c>
      <c r="AD14" s="4" t="n">
        <v>106</v>
      </c>
      <c r="AE14" s="4" t="n">
        <v>107</v>
      </c>
      <c r="AF14" s="4" t="n">
        <v>129</v>
      </c>
      <c r="AG14" s="4" t="n">
        <v>1106</v>
      </c>
      <c r="AH14" s="4" t="n">
        <v>90</v>
      </c>
      <c r="AI14" s="4" t="n">
        <v>101</v>
      </c>
      <c r="AJ14" s="4" t="n">
        <v>112</v>
      </c>
      <c r="AK14" s="4" t="n">
        <v>96</v>
      </c>
      <c r="AL14" s="4" t="n">
        <v>399</v>
      </c>
      <c r="AM14" s="4" t="n">
        <v>1</v>
      </c>
      <c r="AN14" s="4" t="n">
        <v>1</v>
      </c>
      <c r="AO14" s="4" t="n">
        <v>1</v>
      </c>
      <c r="AP14" s="4" t="n">
        <v>1</v>
      </c>
      <c r="AQ14" s="4" t="n">
        <v>1</v>
      </c>
      <c r="AR14" s="4" t="n">
        <v>1</v>
      </c>
      <c r="AS14" s="4" t="n">
        <v>1</v>
      </c>
      <c r="AT14" s="4" t="n">
        <v>1</v>
      </c>
      <c r="AU14" s="4" t="n">
        <v>1</v>
      </c>
      <c r="AV14" s="4" t="n">
        <v>1</v>
      </c>
      <c r="AW14" s="4" t="n">
        <v>1</v>
      </c>
      <c r="AX14" s="4" t="n">
        <v>1</v>
      </c>
      <c r="AY14" s="4" t="n">
        <v>1</v>
      </c>
      <c r="AZ14" s="4" t="n">
        <v>1</v>
      </c>
      <c r="BA14" s="4" t="n">
        <v>1</v>
      </c>
      <c r="BB14" s="4" t="n">
        <v>1</v>
      </c>
      <c r="BC14" s="4" t="n">
        <v>1</v>
      </c>
      <c r="BD14" s="4" t="n">
        <v>1</v>
      </c>
      <c r="BE14" s="4" t="n">
        <v>878201.064254192</v>
      </c>
      <c r="BF14" s="4" t="n">
        <v>1505</v>
      </c>
      <c r="BG14" s="4" t="n">
        <v>1</v>
      </c>
      <c r="BH14" s="4" t="n">
        <v>16</v>
      </c>
      <c r="BI14" s="5" t="n">
        <v>590.252884615384</v>
      </c>
      <c r="BJ14" s="5" t="n">
        <v>607.941758241758</v>
      </c>
      <c r="BK14" s="5" t="n">
        <v>608.467532467532</v>
      </c>
      <c r="BL14" s="5" t="n">
        <v>591.531155015198</v>
      </c>
      <c r="BM14" s="5" t="n">
        <v>599.6765625</v>
      </c>
      <c r="BN14" s="5" t="n">
        <v>572.588970588235</v>
      </c>
      <c r="BO14" s="5" t="n">
        <v>571.925328947368</v>
      </c>
      <c r="BP14" s="5" t="n">
        <v>573.305672004012</v>
      </c>
      <c r="BQ14" s="5" t="n">
        <v>598.257857142858</v>
      </c>
      <c r="BR14" s="5" t="n">
        <v>625.195047169811</v>
      </c>
      <c r="BS14" s="5" t="n">
        <v>569.799732977302</v>
      </c>
      <c r="BT14" s="5" t="n">
        <v>569.887790697674</v>
      </c>
      <c r="BU14" s="5" t="n">
        <v>588.58362500379</v>
      </c>
      <c r="BV14" s="5" t="n">
        <v>573.9675</v>
      </c>
      <c r="BW14" s="5" t="n">
        <v>572.293069306931</v>
      </c>
      <c r="BX14" s="5" t="n">
        <v>557.2921875</v>
      </c>
      <c r="BY14" s="5" t="n">
        <v>576.58515625</v>
      </c>
      <c r="BZ14" s="5" t="n">
        <v>569.492669172933</v>
      </c>
    </row>
    <row r="15" customFormat="false" ht="15" hidden="false" customHeight="false" outlineLevel="0" collapsed="false">
      <c r="B15" s="1" t="s">
        <v>36</v>
      </c>
      <c r="E15" s="4" t="n">
        <v>1335.71428571429</v>
      </c>
      <c r="F15" s="4" t="n">
        <v>1335.73214285714</v>
      </c>
      <c r="I15" s="4" t="n">
        <v>1335.75</v>
      </c>
      <c r="J15" s="4" t="n">
        <v>667.87500063</v>
      </c>
      <c r="K15" s="4" t="n">
        <v>667.875</v>
      </c>
      <c r="N15" s="4" t="n">
        <v>2003.625</v>
      </c>
      <c r="O15" s="4" t="n">
        <v>7346.57142920143</v>
      </c>
      <c r="P15" s="4" t="n">
        <v>2671.5</v>
      </c>
      <c r="Q15" s="4" t="n">
        <v>667.875</v>
      </c>
      <c r="R15" s="4" t="n">
        <v>667.875</v>
      </c>
      <c r="T15" s="4" t="n">
        <v>4007.25</v>
      </c>
      <c r="W15" s="4" t="n">
        <v>2</v>
      </c>
      <c r="X15" s="4" t="n">
        <v>2</v>
      </c>
      <c r="AA15" s="4" t="n">
        <v>2</v>
      </c>
      <c r="AB15" s="4" t="n">
        <v>1</v>
      </c>
      <c r="AC15" s="4" t="n">
        <v>1</v>
      </c>
      <c r="AF15" s="4" t="n">
        <v>3</v>
      </c>
      <c r="AG15" s="4" t="n">
        <v>11</v>
      </c>
      <c r="AH15" s="4" t="n">
        <v>4</v>
      </c>
      <c r="AI15" s="4" t="n">
        <v>1</v>
      </c>
      <c r="AJ15" s="4" t="n">
        <v>1</v>
      </c>
      <c r="AL15" s="4" t="n">
        <v>6</v>
      </c>
      <c r="AO15" s="4" t="n">
        <v>1</v>
      </c>
      <c r="AP15" s="4" t="n">
        <v>1</v>
      </c>
      <c r="AS15" s="4" t="n">
        <v>1</v>
      </c>
      <c r="AT15" s="4" t="n">
        <v>1</v>
      </c>
      <c r="AU15" s="4" t="n">
        <v>1</v>
      </c>
      <c r="AX15" s="4" t="n">
        <v>1</v>
      </c>
      <c r="AY15" s="4" t="n">
        <v>1</v>
      </c>
      <c r="AZ15" s="4" t="n">
        <v>1</v>
      </c>
      <c r="BA15" s="4" t="n">
        <v>1</v>
      </c>
      <c r="BB15" s="4" t="n">
        <v>1</v>
      </c>
      <c r="BD15" s="4" t="n">
        <v>1</v>
      </c>
      <c r="BE15" s="4" t="n">
        <v>11353.8214292014</v>
      </c>
      <c r="BF15" s="4" t="n">
        <v>17</v>
      </c>
      <c r="BG15" s="4" t="n">
        <v>1</v>
      </c>
      <c r="BK15" s="5" t="n">
        <v>667.857142857143</v>
      </c>
      <c r="BL15" s="5" t="n">
        <v>667.866071428571</v>
      </c>
      <c r="BO15" s="5" t="n">
        <v>667.875</v>
      </c>
      <c r="BP15" s="5" t="n">
        <v>667.87500063</v>
      </c>
      <c r="BQ15" s="5" t="n">
        <v>667.875</v>
      </c>
      <c r="BT15" s="5" t="n">
        <v>667.875</v>
      </c>
      <c r="BU15" s="5" t="n">
        <v>667.870129927403</v>
      </c>
      <c r="BV15" s="5" t="n">
        <v>667.875</v>
      </c>
      <c r="BW15" s="5" t="n">
        <v>667.875</v>
      </c>
      <c r="BX15" s="5" t="n">
        <v>667.875</v>
      </c>
      <c r="BZ15" s="5" t="n">
        <v>667.875</v>
      </c>
    </row>
    <row r="16" customFormat="false" ht="15" hidden="false" customHeight="false" outlineLevel="0" collapsed="false">
      <c r="A16" s="1" t="s">
        <v>37</v>
      </c>
      <c r="B16" s="1" t="s">
        <v>38</v>
      </c>
      <c r="E16" s="4" t="n">
        <v>1335.71428571429</v>
      </c>
      <c r="F16" s="4" t="n">
        <v>1335.73214285714</v>
      </c>
      <c r="I16" s="4" t="n">
        <v>1335.75</v>
      </c>
      <c r="J16" s="4" t="n">
        <v>667.87500063</v>
      </c>
      <c r="K16" s="4" t="n">
        <v>667.875</v>
      </c>
      <c r="N16" s="4" t="n">
        <v>2003.625</v>
      </c>
      <c r="O16" s="4" t="n">
        <v>7346.57142920143</v>
      </c>
      <c r="P16" s="4" t="n">
        <v>2671.5</v>
      </c>
      <c r="Q16" s="4" t="n">
        <v>667.875</v>
      </c>
      <c r="R16" s="4" t="n">
        <v>667.875</v>
      </c>
      <c r="T16" s="4" t="n">
        <v>4007.25</v>
      </c>
      <c r="W16" s="4" t="n">
        <v>2</v>
      </c>
      <c r="X16" s="4" t="n">
        <v>2</v>
      </c>
      <c r="AA16" s="4" t="n">
        <v>2</v>
      </c>
      <c r="AB16" s="4" t="n">
        <v>1</v>
      </c>
      <c r="AC16" s="4" t="n">
        <v>1</v>
      </c>
      <c r="AF16" s="4" t="n">
        <v>3</v>
      </c>
      <c r="AG16" s="4" t="n">
        <v>11</v>
      </c>
      <c r="AH16" s="4" t="n">
        <v>4</v>
      </c>
      <c r="AI16" s="4" t="n">
        <v>1</v>
      </c>
      <c r="AJ16" s="4" t="n">
        <v>1</v>
      </c>
      <c r="AL16" s="4" t="n">
        <v>6</v>
      </c>
      <c r="AO16" s="4" t="n">
        <v>1</v>
      </c>
      <c r="AP16" s="4" t="n">
        <v>1</v>
      </c>
      <c r="AS16" s="4" t="n">
        <v>1</v>
      </c>
      <c r="AT16" s="4" t="n">
        <v>1</v>
      </c>
      <c r="AU16" s="4" t="n">
        <v>1</v>
      </c>
      <c r="AX16" s="4" t="n">
        <v>1</v>
      </c>
      <c r="AY16" s="4" t="n">
        <v>1</v>
      </c>
      <c r="AZ16" s="4" t="n">
        <v>1</v>
      </c>
      <c r="BA16" s="4" t="n">
        <v>1</v>
      </c>
      <c r="BB16" s="4" t="n">
        <v>1</v>
      </c>
      <c r="BD16" s="4" t="n">
        <v>1</v>
      </c>
      <c r="BE16" s="4" t="n">
        <v>11353.8214292014</v>
      </c>
      <c r="BF16" s="4" t="n">
        <v>17</v>
      </c>
      <c r="BG16" s="4" t="n">
        <v>1</v>
      </c>
      <c r="BH16" s="4" t="n">
        <v>9</v>
      </c>
      <c r="BK16" s="5" t="n">
        <v>667.857142857143</v>
      </c>
      <c r="BL16" s="5" t="n">
        <v>667.866071428571</v>
      </c>
      <c r="BO16" s="5" t="n">
        <v>667.875</v>
      </c>
      <c r="BP16" s="5" t="n">
        <v>667.87500063</v>
      </c>
      <c r="BQ16" s="5" t="n">
        <v>667.875</v>
      </c>
      <c r="BT16" s="5" t="n">
        <v>667.875</v>
      </c>
      <c r="BU16" s="5" t="n">
        <v>667.870129927403</v>
      </c>
      <c r="BV16" s="5" t="n">
        <v>667.875</v>
      </c>
      <c r="BW16" s="5" t="n">
        <v>667.875</v>
      </c>
      <c r="BX16" s="5" t="n">
        <v>667.875</v>
      </c>
      <c r="BZ16" s="5" t="n">
        <v>667.875</v>
      </c>
    </row>
    <row r="17" customFormat="false" ht="15" hidden="false" customHeight="false" outlineLevel="0" collapsed="false">
      <c r="A17" s="1" t="s">
        <v>39</v>
      </c>
      <c r="B17" s="1" t="s">
        <v>40</v>
      </c>
      <c r="C17" s="4" t="n">
        <v>509198.175</v>
      </c>
      <c r="D17" s="4" t="n">
        <v>541319.174999992</v>
      </c>
      <c r="E17" s="4" t="n">
        <v>446448.928571428</v>
      </c>
      <c r="F17" s="4" t="n">
        <v>587650.539285714</v>
      </c>
      <c r="G17" s="4" t="n">
        <v>645248.625</v>
      </c>
      <c r="H17" s="4" t="n">
        <v>667614.3</v>
      </c>
      <c r="I17" s="4" t="n">
        <v>663708.675</v>
      </c>
      <c r="J17" s="4" t="n">
        <v>696632.024913975</v>
      </c>
      <c r="K17" s="4" t="n">
        <v>665455.350000001</v>
      </c>
      <c r="L17" s="4" t="n">
        <v>710364.149999999</v>
      </c>
      <c r="M17" s="4" t="n">
        <v>687870.071428572</v>
      </c>
      <c r="N17" s="4" t="n">
        <v>675122.325</v>
      </c>
      <c r="O17" s="4" t="n">
        <v>7496632.33919968</v>
      </c>
      <c r="P17" s="4" t="n">
        <v>697035.975000001</v>
      </c>
      <c r="Q17" s="4" t="n">
        <v>594443.850000001</v>
      </c>
      <c r="R17" s="4" t="n">
        <v>613511.175000001</v>
      </c>
      <c r="S17" s="4" t="n">
        <v>651976.200000001</v>
      </c>
      <c r="T17" s="4" t="n">
        <v>2556967.2</v>
      </c>
      <c r="U17" s="4" t="n">
        <v>1760</v>
      </c>
      <c r="V17" s="4" t="n">
        <v>1769</v>
      </c>
      <c r="W17" s="4" t="n">
        <v>1450</v>
      </c>
      <c r="X17" s="4" t="n">
        <v>1932</v>
      </c>
      <c r="Y17" s="4" t="n">
        <v>2168</v>
      </c>
      <c r="Z17" s="4" t="n">
        <v>2326</v>
      </c>
      <c r="AA17" s="4" t="n">
        <v>2325</v>
      </c>
      <c r="AB17" s="4" t="n">
        <v>2392</v>
      </c>
      <c r="AC17" s="4" t="n">
        <v>2165</v>
      </c>
      <c r="AD17" s="4" t="n">
        <v>2227</v>
      </c>
      <c r="AE17" s="4" t="n">
        <v>2358</v>
      </c>
      <c r="AF17" s="4" t="n">
        <v>2295</v>
      </c>
      <c r="AG17" s="4" t="n">
        <v>25167</v>
      </c>
      <c r="AH17" s="4" t="n">
        <v>2398</v>
      </c>
      <c r="AI17" s="4" t="n">
        <v>2064</v>
      </c>
      <c r="AJ17" s="4" t="n">
        <v>2127</v>
      </c>
      <c r="AK17" s="4" t="n">
        <v>2263</v>
      </c>
      <c r="AL17" s="4" t="n">
        <v>8852</v>
      </c>
      <c r="AM17" s="4" t="n">
        <v>6</v>
      </c>
      <c r="AN17" s="4" t="n">
        <v>6</v>
      </c>
      <c r="AO17" s="4" t="n">
        <v>7</v>
      </c>
      <c r="AP17" s="4" t="n">
        <v>7</v>
      </c>
      <c r="AQ17" s="4" t="n">
        <v>6</v>
      </c>
      <c r="AR17" s="4" t="n">
        <v>6</v>
      </c>
      <c r="AS17" s="4" t="n">
        <v>7</v>
      </c>
      <c r="AT17" s="4" t="n">
        <v>7</v>
      </c>
      <c r="AU17" s="4" t="n">
        <v>7</v>
      </c>
      <c r="AV17" s="4" t="n">
        <v>6</v>
      </c>
      <c r="AW17" s="4" t="n">
        <v>6</v>
      </c>
      <c r="AX17" s="4" t="n">
        <v>7</v>
      </c>
      <c r="AY17" s="4" t="n">
        <v>7</v>
      </c>
      <c r="AZ17" s="4" t="n">
        <v>7</v>
      </c>
      <c r="BA17" s="4" t="n">
        <v>7</v>
      </c>
      <c r="BB17" s="4" t="n">
        <v>7</v>
      </c>
      <c r="BC17" s="4" t="n">
        <v>6</v>
      </c>
      <c r="BD17" s="4" t="n">
        <v>7</v>
      </c>
      <c r="BE17" s="4" t="n">
        <v>10053599.5391997</v>
      </c>
      <c r="BF17" s="4" t="n">
        <v>34019</v>
      </c>
      <c r="BG17" s="4" t="n">
        <v>7</v>
      </c>
      <c r="BH17" s="4" t="n">
        <v>105</v>
      </c>
      <c r="BI17" s="5" t="n">
        <v>289.317144886364</v>
      </c>
      <c r="BJ17" s="5" t="n">
        <v>306.002925381567</v>
      </c>
      <c r="BK17" s="5" t="n">
        <v>307.895812807882</v>
      </c>
      <c r="BL17" s="5" t="n">
        <v>304.166945800059</v>
      </c>
      <c r="BM17" s="5" t="n">
        <v>297.623904520295</v>
      </c>
      <c r="BN17" s="5" t="n">
        <v>287.022484952709</v>
      </c>
      <c r="BO17" s="5" t="n">
        <v>285.466096774193</v>
      </c>
      <c r="BP17" s="5" t="n">
        <v>291.234124127916</v>
      </c>
      <c r="BQ17" s="5" t="n">
        <v>307.369676674365</v>
      </c>
      <c r="BR17" s="5" t="n">
        <v>318.978064660978</v>
      </c>
      <c r="BS17" s="5" t="n">
        <v>291.717587543924</v>
      </c>
      <c r="BT17" s="5" t="n">
        <v>294.170947712418</v>
      </c>
      <c r="BU17" s="5" t="n">
        <v>297.875485326009</v>
      </c>
      <c r="BV17" s="5" t="n">
        <v>290.673884487073</v>
      </c>
      <c r="BW17" s="5" t="n">
        <v>288.00574127907</v>
      </c>
      <c r="BX17" s="5" t="n">
        <v>288.43966854725</v>
      </c>
      <c r="BY17" s="5" t="n">
        <v>288.102607158639</v>
      </c>
      <c r="BZ17" s="5" t="n">
        <v>288.857568910981</v>
      </c>
    </row>
    <row r="19" customFormat="false" ht="15" hidden="false" customHeight="false" outlineLevel="0" collapsed="false">
      <c r="A19" s="1" t="s">
        <v>41</v>
      </c>
    </row>
    <row r="20" customFormat="false" ht="15" hidden="false" customHeight="false" outlineLevel="0" collapsed="false">
      <c r="A20" s="1" t="s">
        <v>42</v>
      </c>
    </row>
    <row r="21" customFormat="false" ht="15" hidden="false" customHeight="false" outlineLevel="0" collapsed="false">
      <c r="A21" s="1" t="s">
        <v>43</v>
      </c>
    </row>
    <row r="22" customFormat="false" ht="15" hidden="false" customHeight="false" outlineLevel="0" collapsed="false">
      <c r="A22" s="1" t="s">
        <v>44</v>
      </c>
    </row>
    <row r="23" customFormat="false" ht="15" hidden="false" customHeight="false" outlineLevel="0" collapsed="false">
      <c r="A23" s="1" t="s">
        <v>45</v>
      </c>
    </row>
    <row r="24" customFormat="false" ht="15" hidden="false" customHeight="false" outlineLevel="0" collapsed="false">
      <c r="A24" s="1" t="s">
        <v>46</v>
      </c>
    </row>
    <row r="25" customFormat="false" ht="15" hidden="false" customHeight="false" outlineLevel="0" collapsed="false">
      <c r="A25" s="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9" min="6" style="0" width="13"/>
    <col collapsed="false" customWidth="true" hidden="false" outlineLevel="0" max="11" min="10" style="0" width="12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55"/>
    <col collapsed="false" customWidth="true" hidden="false" outlineLevel="0" max="18" min="18" style="0" width="11"/>
  </cols>
  <sheetData>
    <row r="1" customFormat="false" ht="17.35" hidden="false" customHeight="false" outlineLevel="0" collapsed="false">
      <c r="B1" s="6" t="s">
        <v>48</v>
      </c>
    </row>
    <row r="2" customFormat="false" ht="15" hidden="false" customHeight="false" outlineLevel="0" collapsed="false">
      <c r="B2" s="7" t="s">
        <v>49</v>
      </c>
    </row>
    <row r="4" customFormat="false" ht="15" hidden="false" customHeight="false" outlineLevel="0" collapsed="false">
      <c r="B4" s="8" t="s">
        <v>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45" hidden="false" customHeight="true" outlineLevel="0" collapsed="false"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  <c r="I5" s="10" t="s">
        <v>58</v>
      </c>
      <c r="J5" s="10" t="s">
        <v>59</v>
      </c>
      <c r="K5" s="10" t="s">
        <v>60</v>
      </c>
      <c r="L5" s="10" t="s">
        <v>61</v>
      </c>
      <c r="M5" s="10" t="s">
        <v>62</v>
      </c>
      <c r="N5" s="10" t="s">
        <v>63</v>
      </c>
      <c r="O5" s="10" t="s">
        <v>64</v>
      </c>
      <c r="P5" s="10" t="s">
        <v>65</v>
      </c>
      <c r="Q5" s="10" t="s">
        <v>66</v>
      </c>
    </row>
    <row r="6" customFormat="false" ht="30" hidden="false" customHeight="true" outlineLevel="0" collapsed="false">
      <c r="B6" s="11" t="s">
        <v>67</v>
      </c>
      <c r="C6" s="12" t="s">
        <v>28</v>
      </c>
      <c r="D6" s="13" t="n">
        <f aca="false">SUM('Lubes SKU level summary'!C8:F8)</f>
        <v>684899.924999999</v>
      </c>
      <c r="E6" s="13" t="n">
        <f aca="false">SUM('Lubes SKU level summary'!P8:S8)</f>
        <v>810202.574999999</v>
      </c>
      <c r="F6" s="14" t="n">
        <f aca="false">IFERROR(E6/D6-1,0)</f>
        <v>0.182950304747076</v>
      </c>
      <c r="G6" s="13" t="n">
        <f aca="false">SUM('Lubes SKU level summary'!U8:X8)</f>
        <v>2524</v>
      </c>
      <c r="H6" s="13" t="n">
        <f aca="false">SUM('Lubes SKU level summary'!AH8:AK8)</f>
        <v>3234</v>
      </c>
      <c r="I6" s="14" t="n">
        <f aca="false">IFERROR(H6/G6-1,0)</f>
        <v>0.281299524564184</v>
      </c>
      <c r="J6" s="13" t="n">
        <f aca="false">IFERROR(D6/G6,0)</f>
        <v>271.354962361331</v>
      </c>
      <c r="K6" s="13" t="n">
        <f aca="false">IFERROR(E6/H6,0)</f>
        <v>250.526461038961</v>
      </c>
      <c r="L6" s="14" t="n">
        <f aca="false">IFERROR(K6/J6-1,0)</f>
        <v>-0.0767573997583115</v>
      </c>
      <c r="M6" s="13" t="n">
        <f aca="false">SUM('Lubes SKU level summary'!I8:N8)/6</f>
        <v>209988.14107504</v>
      </c>
      <c r="N6" s="13" t="n">
        <f aca="false">N('Lubes SKU level summary'!S8)</f>
        <v>220476.9</v>
      </c>
      <c r="O6" s="14" t="n">
        <f aca="false">IFERROR(N6/M6-1,0)</f>
        <v>0.0499492917612487</v>
      </c>
      <c r="P6" s="14" t="n">
        <f aca="false">IFERROR(E6/E$13,0)</f>
        <v>0.31686076184317</v>
      </c>
      <c r="Q6" s="15" t="s">
        <v>68</v>
      </c>
    </row>
    <row r="7" customFormat="false" ht="30" hidden="false" customHeight="true" outlineLevel="0" collapsed="false">
      <c r="B7" s="11" t="s">
        <v>69</v>
      </c>
      <c r="C7" s="12" t="s">
        <v>28</v>
      </c>
      <c r="D7" s="13" t="n">
        <f aca="false">SUM('Lubes SKU level summary'!C9:F9)</f>
        <v>455196.210714286</v>
      </c>
      <c r="E7" s="13" t="n">
        <f aca="false">SUM('Lubes SKU level summary'!P9:S9)</f>
        <v>666276.375000003</v>
      </c>
      <c r="F7" s="14" t="n">
        <f aca="false">IFERROR(E7/D7-1,0)</f>
        <v>0.463712481161682</v>
      </c>
      <c r="G7" s="13" t="n">
        <f aca="false">SUM('Lubes SKU level summary'!U9:X9)</f>
        <v>1742</v>
      </c>
      <c r="H7" s="13" t="n">
        <f aca="false">SUM('Lubes SKU level summary'!AH9:AK9)</f>
        <v>2715</v>
      </c>
      <c r="I7" s="14" t="n">
        <f aca="false">IFERROR(H7/G7-1,0)</f>
        <v>0.558553386911596</v>
      </c>
      <c r="J7" s="13" t="n">
        <f aca="false">IFERROR(D7/G7,0)</f>
        <v>261.306665163195</v>
      </c>
      <c r="K7" s="13" t="n">
        <f aca="false">IFERROR(E7/H7,0)</f>
        <v>245.405662983427</v>
      </c>
      <c r="L7" s="14" t="n">
        <f aca="false">IFERROR(K7/J7-1,0)</f>
        <v>-0.0608518813319886</v>
      </c>
      <c r="M7" s="13" t="n">
        <f aca="false">SUM('Lubes SKU level summary'!I9:N9)/6</f>
        <v>173569.714876234</v>
      </c>
      <c r="N7" s="13" t="n">
        <f aca="false">N('Lubes SKU level summary'!S9)</f>
        <v>170192.325000001</v>
      </c>
      <c r="O7" s="14" t="n">
        <f aca="false">IFERROR(N7/M7-1,0)</f>
        <v>-0.0194584053942889</v>
      </c>
      <c r="P7" s="14" t="n">
        <f aca="false">IFERROR(E7/E$13,0)</f>
        <v>0.260572906449485</v>
      </c>
      <c r="Q7" s="15" t="s">
        <v>70</v>
      </c>
    </row>
    <row r="8" customFormat="false" ht="30" hidden="false" customHeight="true" outlineLevel="0" collapsed="false">
      <c r="B8" s="11" t="s">
        <v>71</v>
      </c>
      <c r="C8" s="12" t="s">
        <v>28</v>
      </c>
      <c r="D8" s="13" t="n">
        <f aca="false">SUM('Lubes SKU level summary'!C10:F10)</f>
        <v>270715.4</v>
      </c>
      <c r="E8" s="13" t="n">
        <f aca="false">SUM('Lubes SKU level summary'!P10:S10)</f>
        <v>297903.900000001</v>
      </c>
      <c r="F8" s="14" t="n">
        <f aca="false">IFERROR(E8/D8-1,0)</f>
        <v>0.100432040438042</v>
      </c>
      <c r="G8" s="13" t="n">
        <f aca="false">SUM('Lubes SKU level summary'!U10:X10)</f>
        <v>999</v>
      </c>
      <c r="H8" s="13" t="n">
        <f aca="false">SUM('Lubes SKU level summary'!AH10:AK10)</f>
        <v>1187</v>
      </c>
      <c r="I8" s="14" t="n">
        <f aca="false">IFERROR(H8/G8-1,0)</f>
        <v>0.188188188188188</v>
      </c>
      <c r="J8" s="13" t="n">
        <f aca="false">IFERROR(D8/G8,0)</f>
        <v>270.986386386386</v>
      </c>
      <c r="K8" s="13" t="n">
        <f aca="false">IFERROR(E8/H8,0)</f>
        <v>250.972114574558</v>
      </c>
      <c r="L8" s="14" t="n">
        <f aca="false">IFERROR(K8/J8-1,0)</f>
        <v>-0.0738571117122125</v>
      </c>
      <c r="M8" s="13" t="n">
        <f aca="false">SUM('Lubes SKU level summary'!I10:N10)/6</f>
        <v>78534.845245806</v>
      </c>
      <c r="N8" s="13" t="n">
        <f aca="false">N('Lubes SKU level summary'!S10)</f>
        <v>69610.7250000001</v>
      </c>
      <c r="O8" s="14" t="n">
        <f aca="false">IFERROR(N8/M8-1,0)</f>
        <v>-0.113632620244865</v>
      </c>
      <c r="P8" s="14" t="n">
        <f aca="false">IFERROR(E8/E$13,0)</f>
        <v>0.116506735010132</v>
      </c>
      <c r="Q8" s="15" t="s">
        <v>72</v>
      </c>
    </row>
    <row r="9" customFormat="false" ht="30" hidden="false" customHeight="true" outlineLevel="0" collapsed="false">
      <c r="B9" s="11" t="s">
        <v>73</v>
      </c>
      <c r="C9" s="12" t="s">
        <v>28</v>
      </c>
      <c r="D9" s="13" t="n">
        <f aca="false">SUM('Lubes SKU level summary'!C11:F11)</f>
        <v>284497.496428572</v>
      </c>
      <c r="E9" s="13" t="n">
        <f aca="false">SUM('Lubes SKU level summary'!P11:S11)</f>
        <v>265995</v>
      </c>
      <c r="F9" s="14" t="n">
        <f aca="false">IFERROR(E9/D9-1,0)</f>
        <v>-0.0650357091392424</v>
      </c>
      <c r="G9" s="13" t="n">
        <f aca="false">SUM('Lubes SKU level summary'!U11:X11)</f>
        <v>994</v>
      </c>
      <c r="H9" s="13" t="n">
        <f aca="false">SUM('Lubes SKU level summary'!AH11:AK11)</f>
        <v>814</v>
      </c>
      <c r="I9" s="14" t="n">
        <f aca="false">IFERROR(H9/G9-1,0)</f>
        <v>-0.181086519114688</v>
      </c>
      <c r="J9" s="13" t="n">
        <f aca="false">IFERROR(D9/G9,0)</f>
        <v>286.214785139408</v>
      </c>
      <c r="K9" s="13" t="n">
        <f aca="false">IFERROR(E9/H9,0)</f>
        <v>326.775184275185</v>
      </c>
      <c r="L9" s="14" t="n">
        <f aca="false">IFERROR(K9/J9-1,0)</f>
        <v>0.141713151247658</v>
      </c>
      <c r="M9" s="13" t="n">
        <f aca="false">SUM('Lubes SKU level summary'!I11:N11)/6</f>
        <v>77922.331537744</v>
      </c>
      <c r="N9" s="13" t="n">
        <f aca="false">N('Lubes SKU level summary'!S11)</f>
        <v>68949.6000000001</v>
      </c>
      <c r="O9" s="14" t="n">
        <f aca="false">IFERROR(N9/M9-1,0)</f>
        <v>-0.115149679952757</v>
      </c>
      <c r="P9" s="14" t="n">
        <f aca="false">IFERROR(E9/E$13,0)</f>
        <v>0.104027536997737</v>
      </c>
      <c r="Q9" s="15" t="s">
        <v>74</v>
      </c>
    </row>
    <row r="10" customFormat="false" ht="30" hidden="false" customHeight="true" outlineLevel="0" collapsed="false">
      <c r="B10" s="11" t="s">
        <v>75</v>
      </c>
      <c r="C10" s="12" t="s">
        <v>33</v>
      </c>
      <c r="D10" s="13" t="n">
        <f aca="false">SUM('Lubes SKU level summary'!C13:F13)</f>
        <v>226897.421428572</v>
      </c>
      <c r="E10" s="13" t="n">
        <f aca="false">SUM('Lubes SKU level summary'!P13:S13)</f>
        <v>285354.525</v>
      </c>
      <c r="F10" s="14" t="n">
        <f aca="false">IFERROR(E10/D10-1,0)</f>
        <v>0.257636702979593</v>
      </c>
      <c r="G10" s="13" t="n">
        <f aca="false">SUM('Lubes SKU level summary'!U13:X13)</f>
        <v>382</v>
      </c>
      <c r="H10" s="13" t="n">
        <f aca="false">SUM('Lubes SKU level summary'!AH13:AK13)</f>
        <v>497</v>
      </c>
      <c r="I10" s="14" t="n">
        <f aca="false">IFERROR(H10/G10-1,0)</f>
        <v>0.301047120418848</v>
      </c>
      <c r="J10" s="13" t="n">
        <f aca="false">IFERROR(D10/G10,0)</f>
        <v>593.972307404638</v>
      </c>
      <c r="K10" s="13" t="n">
        <f aca="false">IFERROR(E10/H10,0)</f>
        <v>574.153973843059</v>
      </c>
      <c r="L10" s="14" t="n">
        <f aca="false">IFERROR(K10/J10-1,0)</f>
        <v>-0.033365753444256</v>
      </c>
      <c r="M10" s="13" t="n">
        <f aca="false">SUM('Lubes SKU level summary'!I13:N13)/6</f>
        <v>79854.2880893205</v>
      </c>
      <c r="N10" s="13" t="n">
        <f aca="false">N('Lubes SKU level summary'!S13)</f>
        <v>67394.475</v>
      </c>
      <c r="O10" s="14" t="n">
        <f aca="false">IFERROR(N10/M10-1,0)</f>
        <v>-0.156031859871866</v>
      </c>
      <c r="P10" s="14" t="n">
        <f aca="false">IFERROR(E10/E$13,0)</f>
        <v>0.111598821056445</v>
      </c>
      <c r="Q10" s="15" t="s">
        <v>76</v>
      </c>
    </row>
    <row r="11" customFormat="false" ht="30" hidden="false" customHeight="true" outlineLevel="0" collapsed="false">
      <c r="B11" s="11" t="s">
        <v>77</v>
      </c>
      <c r="C11" s="12" t="s">
        <v>33</v>
      </c>
      <c r="D11" s="13" t="n">
        <f aca="false">SUM('Lubes SKU level summary'!C14:F14)</f>
        <v>159738.917857143</v>
      </c>
      <c r="E11" s="13" t="n">
        <f aca="false">SUM('Lubes SKU level summary'!P14:S14)</f>
        <v>227227.575</v>
      </c>
      <c r="F11" s="14" t="n">
        <f aca="false">IFERROR(E11/D11-1,0)</f>
        <v>0.422493516596961</v>
      </c>
      <c r="G11" s="13" t="n">
        <f aca="false">SUM('Lubes SKU level summary'!U14:X14)</f>
        <v>266</v>
      </c>
      <c r="H11" s="13" t="n">
        <f aca="false">SUM('Lubes SKU level summary'!AH14:AK14)</f>
        <v>399</v>
      </c>
      <c r="I11" s="14" t="n">
        <f aca="false">IFERROR(H11/G11-1,0)</f>
        <v>0.5</v>
      </c>
      <c r="J11" s="13" t="n">
        <f aca="false">IFERROR(D11/G11,0)</f>
        <v>600.522247583244</v>
      </c>
      <c r="K11" s="13" t="n">
        <f aca="false">IFERROR(E11/H11,0)</f>
        <v>569.492669172933</v>
      </c>
      <c r="L11" s="14" t="n">
        <f aca="false">IFERROR(K11/J11-1,0)</f>
        <v>-0.0516709889353596</v>
      </c>
      <c r="M11" s="13" t="n">
        <f aca="false">SUM('Lubes SKU level summary'!I14:N14)/6</f>
        <v>62543.5910661748</v>
      </c>
      <c r="N11" s="13" t="n">
        <f aca="false">N('Lubes SKU level summary'!S14)</f>
        <v>55352.175</v>
      </c>
      <c r="O11" s="14" t="n">
        <f aca="false">IFERROR(N11/M11-1,0)</f>
        <v>-0.114982461729226</v>
      </c>
      <c r="P11" s="14" t="n">
        <f aca="false">IFERROR(E11/E$13,0)</f>
        <v>0.0888660499829641</v>
      </c>
      <c r="Q11" s="15" t="s">
        <v>78</v>
      </c>
    </row>
    <row r="12" customFormat="false" ht="30" hidden="false" customHeight="true" outlineLevel="0" collapsed="false">
      <c r="B12" s="11" t="s">
        <v>79</v>
      </c>
      <c r="C12" s="12" t="s">
        <v>36</v>
      </c>
      <c r="D12" s="13" t="n">
        <f aca="false">SUM('Lubes SKU level summary'!C16:F16)</f>
        <v>2671.44642857143</v>
      </c>
      <c r="E12" s="13" t="n">
        <f aca="false">SUM('Lubes SKU level summary'!P16:S16)</f>
        <v>4007.25</v>
      </c>
      <c r="F12" s="14" t="n">
        <f aca="false">IFERROR(E12/D12-1,0)</f>
        <v>0.500030080012835</v>
      </c>
      <c r="G12" s="13" t="n">
        <f aca="false">SUM('Lubes SKU level summary'!U16:X16)</f>
        <v>4</v>
      </c>
      <c r="H12" s="13" t="n">
        <f aca="false">SUM('Lubes SKU level summary'!AH16:AK16)</f>
        <v>6</v>
      </c>
      <c r="I12" s="14" t="n">
        <f aca="false">IFERROR(H12/G12-1,0)</f>
        <v>0.5</v>
      </c>
      <c r="J12" s="13" t="n">
        <f aca="false">IFERROR(D12/G12,0)</f>
        <v>667.861607142857</v>
      </c>
      <c r="K12" s="13" t="n">
        <f aca="false">IFERROR(E12/H12,0)</f>
        <v>667.875</v>
      </c>
      <c r="L12" s="14" t="n">
        <f aca="false">IFERROR(K12/J12-1,0)</f>
        <v>2.00533418897031E-005</v>
      </c>
      <c r="M12" s="13" t="n">
        <f aca="false">SUM('Lubes SKU level summary'!I16:N16)/6</f>
        <v>779.187500105</v>
      </c>
      <c r="N12" s="13" t="n">
        <f aca="false">N('Lubes SKU level summary'!S16)</f>
        <v>0</v>
      </c>
      <c r="O12" s="14" t="n">
        <f aca="false">IFERROR(N12/M12-1,0)</f>
        <v>-1</v>
      </c>
      <c r="P12" s="14" t="n">
        <f aca="false">IFERROR(E12/E$13,0)</f>
        <v>0.00156718866006572</v>
      </c>
      <c r="Q12" s="15" t="s">
        <v>80</v>
      </c>
    </row>
    <row r="13" customFormat="false" ht="30" hidden="false" customHeight="true" outlineLevel="0" collapsed="false">
      <c r="B13" s="16" t="s">
        <v>81</v>
      </c>
      <c r="C13" s="17"/>
      <c r="D13" s="18" t="n">
        <f aca="false">SUM(D6:D12)</f>
        <v>2084616.81785714</v>
      </c>
      <c r="E13" s="18" t="n">
        <f aca="false">SUM(E6:E12)</f>
        <v>2556967.2</v>
      </c>
      <c r="F13" s="19" t="n">
        <f aca="false">IFERROR(E13/D13-1,0)</f>
        <v>0.226588588414252</v>
      </c>
      <c r="G13" s="18" t="n">
        <f aca="false">SUM(G6:G12)</f>
        <v>6911</v>
      </c>
      <c r="H13" s="18" t="n">
        <f aca="false">SUM(H6:H12)</f>
        <v>8852</v>
      </c>
      <c r="I13" s="19" t="n">
        <f aca="false">IFERROR(H13/G13-1,0)</f>
        <v>0.280856605411663</v>
      </c>
      <c r="J13" s="18" t="n">
        <f aca="false">IFERROR(D13/G13,0)</f>
        <v>301.637508010005</v>
      </c>
      <c r="K13" s="18" t="n">
        <f aca="false">IFERROR(E13/H13,0)</f>
        <v>288.857568910981</v>
      </c>
      <c r="L13" s="19" t="n">
        <f aca="false">IFERROR(K13/J13-1,0)</f>
        <v>-0.0423685342825466</v>
      </c>
      <c r="M13" s="18" t="n">
        <f aca="false">SUM(M6:M12)</f>
        <v>683192.099390424</v>
      </c>
      <c r="N13" s="18" t="n">
        <f aca="false">SUM(N6:N12)</f>
        <v>651976.200000001</v>
      </c>
      <c r="O13" s="19" t="n">
        <f aca="false">IFERROR(N13/M13-1,0)</f>
        <v>-0.0456912476275353</v>
      </c>
      <c r="P13" s="19" t="n">
        <f aca="false">IFERROR(E13/E13,0)</f>
        <v>1</v>
      </c>
      <c r="Q13" s="20" t="s">
        <v>82</v>
      </c>
    </row>
    <row r="14" customFormat="false" ht="15" hidden="false" customHeight="false" outlineLevel="0" collapsed="false">
      <c r="B14" s="7" t="str">
        <f aca="false">"Check vs pivot Grand Total JA'26: "&amp;TEXT('Lubes SKU level summary'!T17-E13,"#,##0")&amp;" difference"</f>
        <v>Check vs pivot Grand Total JA'26: 0 difference</v>
      </c>
    </row>
    <row r="16" customFormat="false" ht="15" hidden="false" customHeight="false" outlineLevel="0" collapsed="false">
      <c r="B16" s="8" t="s">
        <v>83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customFormat="false" ht="45" hidden="false" customHeight="true" outlineLevel="0" collapsed="false">
      <c r="B17" s="10" t="s">
        <v>84</v>
      </c>
      <c r="C17" s="10" t="s">
        <v>85</v>
      </c>
      <c r="D17" s="10" t="s">
        <v>86</v>
      </c>
      <c r="E17" s="10" t="s">
        <v>87</v>
      </c>
      <c r="F17" s="10" t="s">
        <v>88</v>
      </c>
      <c r="G17" s="10" t="s">
        <v>89</v>
      </c>
      <c r="H17" s="10" t="s">
        <v>90</v>
      </c>
      <c r="I17" s="10" t="s">
        <v>91</v>
      </c>
      <c r="J17" s="10" t="s">
        <v>92</v>
      </c>
      <c r="K17" s="10" t="s">
        <v>93</v>
      </c>
      <c r="L17" s="10" t="s">
        <v>94</v>
      </c>
      <c r="M17" s="10" t="s">
        <v>95</v>
      </c>
      <c r="N17" s="10" t="s">
        <v>96</v>
      </c>
      <c r="O17" s="10" t="s">
        <v>97</v>
      </c>
      <c r="P17" s="10" t="s">
        <v>98</v>
      </c>
      <c r="Q17" s="10" t="s">
        <v>99</v>
      </c>
      <c r="R17" s="10" t="s">
        <v>100</v>
      </c>
    </row>
    <row r="18" customFormat="false" ht="15" hidden="false" customHeight="false" outlineLevel="0" collapsed="false">
      <c r="B18" s="21" t="s">
        <v>101</v>
      </c>
      <c r="C18" s="13" t="n">
        <f aca="false">IFERROR('Lubes SKU level summary'!C11/'Lubes SKU level summary'!U11,0)</f>
        <v>289.591091954023</v>
      </c>
      <c r="D18" s="13" t="n">
        <f aca="false">IFERROR('Lubes SKU level summary'!D11/'Lubes SKU level summary'!V11,0)</f>
        <v>286.249896694216</v>
      </c>
      <c r="E18" s="13" t="n">
        <f aca="false">IFERROR('Lubes SKU level summary'!E11/'Lubes SKU level summary'!W11,0)</f>
        <v>286.995169082126</v>
      </c>
      <c r="F18" s="13" t="n">
        <f aca="false">IFERROR('Lubes SKU level summary'!F11/'Lubes SKU level summary'!X11,0)</f>
        <v>282.513191649899</v>
      </c>
      <c r="G18" s="13" t="n">
        <f aca="false">IFERROR('Lubes SKU level summary'!G11/'Lubes SKU level summary'!Y11,0)</f>
        <v>286.279481132076</v>
      </c>
      <c r="H18" s="13" t="n">
        <f aca="false">IFERROR('Lubes SKU level summary'!H11/'Lubes SKU level summary'!Z11,0)</f>
        <v>278.439428571428</v>
      </c>
      <c r="I18" s="13" t="n">
        <f aca="false">IFERROR('Lubes SKU level summary'!I11/'Lubes SKU level summary'!AA11,0)</f>
        <v>285.483796296296</v>
      </c>
      <c r="J18" s="13" t="n">
        <f aca="false">IFERROR('Lubes SKU level summary'!J11/'Lubes SKU level summary'!AB11,0)</f>
        <v>286.522130953279</v>
      </c>
      <c r="K18" s="13" t="n">
        <f aca="false">IFERROR('Lubes SKU level summary'!K11/'Lubes SKU level summary'!AC11,0)</f>
        <v>300.536203319502</v>
      </c>
      <c r="L18" s="13" t="n">
        <f aca="false">IFERROR('Lubes SKU level summary'!L11/'Lubes SKU level summary'!AD11,0)</f>
        <v>317.371398305085</v>
      </c>
      <c r="M18" s="13" t="n">
        <f aca="false">IFERROR('Lubes SKU level summary'!M11/'Lubes SKU level summary'!AE11,0)</f>
        <v>284.943216855086</v>
      </c>
      <c r="N18" s="13" t="n">
        <f aca="false">IFERROR('Lubes SKU level summary'!N11/'Lubes SKU level summary'!AF11,0)</f>
        <v>313.358461538462</v>
      </c>
      <c r="O18" s="13" t="n">
        <f aca="false">IFERROR('Lubes SKU level summary'!P11/'Lubes SKU level summary'!AH11,0)</f>
        <v>326.775000000001</v>
      </c>
      <c r="P18" s="13" t="n">
        <f aca="false">IFERROR('Lubes SKU level summary'!Q11/'Lubes SKU level summary'!AI11,0)</f>
        <v>326.775433526012</v>
      </c>
      <c r="Q18" s="13" t="n">
        <f aca="false">IFERROR('Lubes SKU level summary'!R11/'Lubes SKU level summary'!AJ11,0)</f>
        <v>326.775000000001</v>
      </c>
      <c r="R18" s="13" t="n">
        <f aca="false">IFERROR('Lubes SKU level summary'!S11/'Lubes SKU level summary'!AK11,0)</f>
        <v>326.775355450238</v>
      </c>
    </row>
    <row r="19" customFormat="false" ht="15" hidden="false" customHeight="false" outlineLevel="0" collapsed="false">
      <c r="B19" s="21" t="s">
        <v>102</v>
      </c>
      <c r="C19" s="13" t="n">
        <f aca="false">IFERROR(SUM('Lubes SKU level summary'!C8:C10)/SUM('Lubes SKU level summary'!U8:U10),0)</f>
        <v>262.632231104651</v>
      </c>
      <c r="D19" s="13" t="n">
        <f aca="false">IFERROR(SUM('Lubes SKU level summary'!D8:D10)/SUM('Lubes SKU level summary'!V8:V10),0)</f>
        <v>272.129701327433</v>
      </c>
      <c r="E19" s="13" t="n">
        <f aca="false">IFERROR(SUM('Lubes SKU level summary'!E8:E10)/SUM('Lubes SKU level summary'!W8:W10),0)</f>
        <v>272.175448868072</v>
      </c>
      <c r="F19" s="13" t="n">
        <f aca="false">IFERROR(SUM('Lubes SKU level summary'!F8:F10)/SUM('Lubes SKU level summary'!X8:X10),0)</f>
        <v>265.904576903932</v>
      </c>
      <c r="G19" s="13" t="n">
        <f aca="false">IFERROR(SUM('Lubes SKU level summary'!G8:G10)/SUM('Lubes SKU level summary'!Y8:Y10),0)</f>
        <v>261.254433272395</v>
      </c>
      <c r="H19" s="13" t="n">
        <f aca="false">IFERROR(SUM('Lubes SKU level summary'!H8:H10)/SUM('Lubes SKU level summary'!Z8:Z10),0)</f>
        <v>248.650490478938</v>
      </c>
      <c r="I19" s="13" t="n">
        <f aca="false">IFERROR(SUM('Lubes SKU level summary'!I8:I10)/SUM('Lubes SKU level summary'!AA8:AA10),0)</f>
        <v>251.559301675978</v>
      </c>
      <c r="J19" s="13" t="n">
        <f aca="false">IFERROR(SUM('Lubes SKU level summary'!J8:J10)/SUM('Lubes SKU level summary'!AB8:AB10),0)</f>
        <v>252.312213136405</v>
      </c>
      <c r="K19" s="13" t="n">
        <f aca="false">IFERROR(SUM('Lubes SKU level summary'!K8:K10)/SUM('Lubes SKU level summary'!AC8:AC10),0)</f>
        <v>270.06798941799</v>
      </c>
      <c r="L19" s="13" t="n">
        <f aca="false">IFERROR(SUM('Lubes SKU level summary'!L8:L10)/SUM('Lubes SKU level summary'!AD8:AD10),0)</f>
        <v>279.405426136363</v>
      </c>
      <c r="M19" s="13" t="n">
        <f aca="false">IFERROR(SUM('Lubes SKU level summary'!M8:M10)/SUM('Lubes SKU level summary'!AE8:AE10),0)</f>
        <v>252.110726098599</v>
      </c>
      <c r="N19" s="13" t="n">
        <f aca="false">IFERROR(SUM('Lubes SKU level summary'!N8:N10)/SUM('Lubes SKU level summary'!AF8:AF10),0)</f>
        <v>249.071983471074</v>
      </c>
      <c r="O19" s="13" t="n">
        <f aca="false">IFERROR(SUM('Lubes SKU level summary'!P8:P10)/SUM('Lubes SKU level summary'!AH8:AH10),0)</f>
        <v>249.909867394696</v>
      </c>
      <c r="P19" s="13" t="n">
        <f aca="false">IFERROR(SUM('Lubes SKU level summary'!Q8:Q10)/SUM('Lubes SKU level summary'!AI8:AI10),0)</f>
        <v>246.768032296651</v>
      </c>
      <c r="Q19" s="13" t="n">
        <f aca="false">IFERROR(SUM('Lubes SKU level summary'!R8:R10)/SUM('Lubes SKU level summary'!AJ8:AJ10),0)</f>
        <v>247.314967685077</v>
      </c>
      <c r="R19" s="13" t="n">
        <f aca="false">IFERROR(SUM('Lubes SKU level summary'!S8:S10)/SUM('Lubes SKU level summary'!AK8:AK10),0)</f>
        <v>250.288172920066</v>
      </c>
    </row>
    <row r="20" customFormat="false" ht="15" hidden="false" customHeight="false" outlineLevel="0" collapsed="false">
      <c r="B20" s="21" t="s">
        <v>103</v>
      </c>
      <c r="C20" s="14" t="n">
        <f aca="false">IFERROR(C18/C19-1,0)</f>
        <v>0.102648714272353</v>
      </c>
      <c r="D20" s="14" t="n">
        <f aca="false">IFERROR(D18/D19-1,0)</f>
        <v>0.0518877406541991</v>
      </c>
      <c r="E20" s="14" t="n">
        <f aca="false">IFERROR(E18/E19-1,0)</f>
        <v>0.0544491440197377</v>
      </c>
      <c r="F20" s="14" t="n">
        <f aca="false">IFERROR(F18/F19-1,0)</f>
        <v>0.0624608080814173</v>
      </c>
      <c r="G20" s="14" t="n">
        <f aca="false">IFERROR(G18/G19-1,0)</f>
        <v>0.0957880314076369</v>
      </c>
      <c r="H20" s="14" t="n">
        <f aca="false">IFERROR(H18/H19-1,0)</f>
        <v>0.119802450560673</v>
      </c>
      <c r="I20" s="14" t="n">
        <f aca="false">IFERROR(I18/I19-1,0)</f>
        <v>0.134856848442103</v>
      </c>
      <c r="J20" s="14" t="n">
        <f aca="false">IFERROR(J18/J19-1,0)</f>
        <v>0.135585659495518</v>
      </c>
      <c r="K20" s="14" t="n">
        <f aca="false">IFERROR(K18/K19-1,0)</f>
        <v>0.112816827966813</v>
      </c>
      <c r="L20" s="14" t="n">
        <f aca="false">IFERROR(L18/L19-1,0)</f>
        <v>0.13588129870532</v>
      </c>
      <c r="M20" s="14" t="n">
        <f aca="false">IFERROR(M18/M19-1,0)</f>
        <v>0.13023043987286</v>
      </c>
      <c r="N20" s="14" t="n">
        <f aca="false">IFERROR(N18/N19-1,0)</f>
        <v>0.258104011424686</v>
      </c>
      <c r="O20" s="14" t="n">
        <f aca="false">IFERROR(O18/O19-1,0)</f>
        <v>0.307571419274565</v>
      </c>
      <c r="P20" s="14" t="n">
        <f aca="false">IFERROR(P18/P19-1,0)</f>
        <v>0.324221093326951</v>
      </c>
      <c r="Q20" s="14" t="n">
        <f aca="false">IFERROR(Q18/Q19-1,0)</f>
        <v>0.321290834350575</v>
      </c>
      <c r="R20" s="14" t="n">
        <f aca="false">IFERROR(R18/R19-1,0)</f>
        <v>0.305596471610345</v>
      </c>
    </row>
    <row r="21" customFormat="false" ht="15" hidden="false" customHeight="false" outlineLevel="0" collapsed="false">
      <c r="B21" s="21" t="s">
        <v>104</v>
      </c>
      <c r="C21" s="14" t="n">
        <f aca="false">IFERROR('Lubes SKU level summary'!U11/'Lubes SKU level summary'!U7,0)</f>
        <v>0.159437996334759</v>
      </c>
      <c r="D21" s="14" t="n">
        <f aca="false">IFERROR('Lubes SKU level summary'!V11/'Lubes SKU level summary'!V7,0)</f>
        <v>0.151439299123905</v>
      </c>
      <c r="E21" s="14" t="n">
        <f aca="false">IFERROR('Lubes SKU level summary'!W11/'Lubes SKU level summary'!W7,0)</f>
        <v>0.158620689655172</v>
      </c>
      <c r="F21" s="14" t="n">
        <f aca="false">IFERROR('Lubes SKU level summary'!X11/'Lubes SKU level summary'!X7,0)</f>
        <v>0.1652123327516</v>
      </c>
      <c r="G21" s="14" t="n">
        <f aca="false">IFERROR('Lubes SKU level summary'!Y11/'Lubes SKU level summary'!Y7,0)</f>
        <v>0.162327718223583</v>
      </c>
      <c r="H21" s="14" t="n">
        <f aca="false">IFERROR('Lubes SKU level summary'!Z11/'Lubes SKU level summary'!Z7,0)</f>
        <v>0.168026884301488</v>
      </c>
      <c r="I21" s="14" t="n">
        <f aca="false">IFERROR('Lubes SKU level summary'!AA11/'Lubes SKU level summary'!AA7,0)</f>
        <v>0.153263954588458</v>
      </c>
      <c r="J21" s="14" t="n">
        <f aca="false">IFERROR('Lubes SKU level summary'!AB11/'Lubes SKU level summary'!AB7,0)</f>
        <v>0.142857142857143</v>
      </c>
      <c r="K21" s="14" t="n">
        <f aca="false">IFERROR('Lubes SKU level summary'!AC11/'Lubes SKU level summary'!AC7,0)</f>
        <v>0.124098867147271</v>
      </c>
      <c r="L21" s="14" t="n">
        <f aca="false">IFERROR('Lubes SKU level summary'!AD11/'Lubes SKU level summary'!AD7,0)</f>
        <v>0.118236472945892</v>
      </c>
      <c r="M21" s="14" t="n">
        <f aca="false">IFERROR('Lubes SKU level summary'!AE11/'Lubes SKU level summary'!AE7,0)</f>
        <v>0.132887189292543</v>
      </c>
      <c r="N21" s="14" t="n">
        <f aca="false">IFERROR('Lubes SKU level summary'!AF11/'Lubes SKU level summary'!AF7,0)</f>
        <v>0.0970149253731343</v>
      </c>
      <c r="O21" s="14" t="n">
        <f aca="false">IFERROR('Lubes SKU level summary'!AH11/'Lubes SKU level summary'!AH7,0)</f>
        <v>0.106412639405204</v>
      </c>
      <c r="P21" s="14" t="n">
        <f aca="false">IFERROR('Lubes SKU level summary'!AI11/'Lubes SKU level summary'!AI7,0)</f>
        <v>0.0937669376693767</v>
      </c>
      <c r="Q21" s="14" t="n">
        <f aca="false">IFERROR('Lubes SKU level summary'!AJ11/'Lubes SKU level summary'!AJ7,0)</f>
        <v>0.105622700998424</v>
      </c>
      <c r="R21" s="14" t="n">
        <f aca="false">IFERROR('Lubes SKU level summary'!AK11/'Lubes SKU level summary'!AK7,0)</f>
        <v>0.102926829268293</v>
      </c>
    </row>
    <row r="22" customFormat="false" ht="15" hidden="false" customHeight="false" outlineLevel="0" collapsed="false">
      <c r="B22" s="21" t="s">
        <v>105</v>
      </c>
      <c r="C22" s="13" t="n">
        <f aca="false">SUM('Lubes SKU level summary'!U8:U10)</f>
        <v>1376</v>
      </c>
      <c r="D22" s="13" t="n">
        <f aca="false">SUM('Lubes SKU level summary'!V8:V10)</f>
        <v>1356</v>
      </c>
      <c r="E22" s="13" t="n">
        <f aca="false">SUM('Lubes SKU level summary'!W8:W10)</f>
        <v>1098</v>
      </c>
      <c r="F22" s="13" t="n">
        <f aca="false">SUM('Lubes SKU level summary'!X8:X10)</f>
        <v>1435</v>
      </c>
      <c r="G22" s="13" t="n">
        <f aca="false">SUM('Lubes SKU level summary'!Y8:Y10)</f>
        <v>1641</v>
      </c>
      <c r="H22" s="13" t="n">
        <f aca="false">SUM('Lubes SKU level summary'!Z8:Z10)</f>
        <v>1733</v>
      </c>
      <c r="I22" s="13" t="n">
        <f aca="false">SUM('Lubes SKU level summary'!AA8:AA10)</f>
        <v>1790</v>
      </c>
      <c r="J22" s="13" t="n">
        <f aca="false">SUM('Lubes SKU level summary'!AB8:AB10)</f>
        <v>1830</v>
      </c>
      <c r="K22" s="13" t="n">
        <f aca="false">SUM('Lubes SKU level summary'!AC8:AC10)</f>
        <v>1701</v>
      </c>
      <c r="L22" s="13" t="n">
        <f aca="false">SUM('Lubes SKU level summary'!AD8:AD10)</f>
        <v>1760</v>
      </c>
      <c r="M22" s="13" t="n">
        <f aca="false">SUM('Lubes SKU level summary'!AE8:AE10)</f>
        <v>1814</v>
      </c>
      <c r="N22" s="13" t="n">
        <f aca="false">SUM('Lubes SKU level summary'!AF8:AF10)</f>
        <v>1815</v>
      </c>
      <c r="O22" s="13" t="n">
        <f aca="false">SUM('Lubes SKU level summary'!AH8:AH10)</f>
        <v>1923</v>
      </c>
      <c r="P22" s="13" t="n">
        <f aca="false">SUM('Lubes SKU level summary'!AI8:AI10)</f>
        <v>1672</v>
      </c>
      <c r="Q22" s="13" t="n">
        <f aca="false">SUM('Lubes SKU level summary'!AJ8:AJ10)</f>
        <v>1702</v>
      </c>
      <c r="R22" s="13" t="n">
        <f aca="false">SUM('Lubes SKU level summary'!AK8:AK10)</f>
        <v>1839</v>
      </c>
    </row>
    <row r="23" customFormat="false" ht="15" hidden="false" customHeight="false" outlineLevel="0" collapsed="false">
      <c r="B23" s="21" t="s">
        <v>106</v>
      </c>
      <c r="C23" s="13" t="n">
        <f aca="false">N('Lubes SKU level summary'!U11)</f>
        <v>261</v>
      </c>
      <c r="D23" s="13" t="n">
        <f aca="false">N('Lubes SKU level summary'!V11)</f>
        <v>242</v>
      </c>
      <c r="E23" s="13" t="n">
        <f aca="false">N('Lubes SKU level summary'!W11)</f>
        <v>207</v>
      </c>
      <c r="F23" s="13" t="n">
        <f aca="false">N('Lubes SKU level summary'!X11)</f>
        <v>284</v>
      </c>
      <c r="G23" s="13" t="n">
        <f aca="false">N('Lubes SKU level summary'!Y11)</f>
        <v>318</v>
      </c>
      <c r="H23" s="13" t="n">
        <f aca="false">N('Lubes SKU level summary'!Z11)</f>
        <v>350</v>
      </c>
      <c r="I23" s="13" t="n">
        <f aca="false">N('Lubes SKU level summary'!AA11)</f>
        <v>324</v>
      </c>
      <c r="J23" s="13" t="n">
        <f aca="false">N('Lubes SKU level summary'!AB11)</f>
        <v>305</v>
      </c>
      <c r="K23" s="13" t="n">
        <f aca="false">N('Lubes SKU level summary'!AC11)</f>
        <v>241</v>
      </c>
      <c r="L23" s="13" t="n">
        <f aca="false">N('Lubes SKU level summary'!AD11)</f>
        <v>236</v>
      </c>
      <c r="M23" s="13" t="n">
        <f aca="false">N('Lubes SKU level summary'!AE11)</f>
        <v>278</v>
      </c>
      <c r="N23" s="13" t="n">
        <f aca="false">N('Lubes SKU level summary'!AF11)</f>
        <v>195</v>
      </c>
      <c r="O23" s="13" t="n">
        <f aca="false">N('Lubes SKU level summary'!AH11)</f>
        <v>229</v>
      </c>
      <c r="P23" s="13" t="n">
        <f aca="false">N('Lubes SKU level summary'!AI11)</f>
        <v>173</v>
      </c>
      <c r="Q23" s="13" t="n">
        <f aca="false">N('Lubes SKU level summary'!AJ11)</f>
        <v>201</v>
      </c>
      <c r="R23" s="13" t="n">
        <f aca="false">N('Lubes SKU level summary'!AK11)</f>
        <v>211</v>
      </c>
    </row>
    <row r="24" customFormat="false" ht="42" hidden="false" customHeight="true" outlineLevel="0" collapsed="false">
      <c r="B24" s="22" t="s">
        <v>107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6" customFormat="false" ht="15" hidden="false" customHeight="false" outlineLevel="0" collapsed="false">
      <c r="B26" s="8" t="s">
        <v>108</v>
      </c>
      <c r="C26" s="9"/>
      <c r="D26" s="9"/>
      <c r="E26" s="9"/>
      <c r="F26" s="9"/>
      <c r="G26" s="9"/>
      <c r="H26" s="9"/>
      <c r="I26" s="9"/>
    </row>
    <row r="27" customFormat="false" ht="45" hidden="false" customHeight="true" outlineLevel="0" collapsed="false">
      <c r="B27" s="10" t="s">
        <v>109</v>
      </c>
      <c r="C27" s="10" t="s">
        <v>110</v>
      </c>
      <c r="D27" s="10" t="s">
        <v>111</v>
      </c>
      <c r="E27" s="10" t="s">
        <v>112</v>
      </c>
      <c r="F27" s="10" t="s">
        <v>113</v>
      </c>
      <c r="G27" s="10" t="s">
        <v>114</v>
      </c>
      <c r="H27" s="10" t="s">
        <v>115</v>
      </c>
      <c r="I27" s="10" t="s">
        <v>116</v>
      </c>
    </row>
    <row r="28" customFormat="false" ht="30" hidden="false" customHeight="true" outlineLevel="0" collapsed="false">
      <c r="B28" s="11" t="s">
        <v>117</v>
      </c>
      <c r="C28" s="13" t="n">
        <f aca="false">AVERAGE('Lubes SKU level summary'!U17:V17)</f>
        <v>1764.5</v>
      </c>
      <c r="D28" s="11" t="s">
        <v>118</v>
      </c>
      <c r="E28" s="15" t="s">
        <v>119</v>
      </c>
      <c r="F28" s="13" t="n">
        <f aca="false">'Lubes SKU level summary'!W17</f>
        <v>1450</v>
      </c>
      <c r="G28" s="14" t="n">
        <f aca="false">F28/C28-1</f>
        <v>-0.178237461037121</v>
      </c>
      <c r="H28" s="13" t="n">
        <f aca="false">'Lubes SKU level summary'!X17</f>
        <v>1932</v>
      </c>
      <c r="I28" s="14" t="n">
        <f aca="false">H28/C28-1</f>
        <v>0.0949277415698497</v>
      </c>
    </row>
    <row r="29" customFormat="false" ht="30" hidden="false" customHeight="true" outlineLevel="0" collapsed="false">
      <c r="B29" s="11" t="s">
        <v>120</v>
      </c>
      <c r="C29" s="13" t="n">
        <f aca="false">'Lubes SKU level summary'!AH17</f>
        <v>2398</v>
      </c>
      <c r="D29" s="11" t="s">
        <v>121</v>
      </c>
      <c r="E29" s="15" t="s">
        <v>122</v>
      </c>
      <c r="F29" s="13" t="n">
        <f aca="false">AVERAGE('Lubes SKU level summary'!AI17:AJ17)</f>
        <v>2095.5</v>
      </c>
      <c r="G29" s="14" t="n">
        <f aca="false">F29/C29-1</f>
        <v>-0.126146788990826</v>
      </c>
      <c r="H29" s="13" t="n">
        <f aca="false">'Lubes SKU level summary'!AK17</f>
        <v>2263</v>
      </c>
      <c r="I29" s="14" t="n">
        <f aca="false">H29/C29-1</f>
        <v>-0.0562969140950792</v>
      </c>
    </row>
    <row r="30" customFormat="false" ht="30" hidden="false" customHeight="true" outlineLevel="0" collapsed="false">
      <c r="B30" s="22" t="s">
        <v>123</v>
      </c>
      <c r="C30" s="22"/>
      <c r="D30" s="22"/>
      <c r="E30" s="22"/>
      <c r="F30" s="22"/>
      <c r="G30" s="22"/>
      <c r="H30" s="22"/>
      <c r="I30" s="22"/>
    </row>
    <row r="32" customFormat="false" ht="15" hidden="false" customHeight="false" outlineLevel="0" collapsed="false">
      <c r="B32" s="8" t="s">
        <v>124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customFormat="false" ht="45" hidden="false" customHeight="true" outlineLevel="0" collapsed="false">
      <c r="B33" s="10" t="s">
        <v>51</v>
      </c>
      <c r="C33" s="10" t="s">
        <v>125</v>
      </c>
      <c r="D33" s="10" t="s">
        <v>126</v>
      </c>
      <c r="E33" s="10" t="s">
        <v>127</v>
      </c>
      <c r="F33" s="10" t="s">
        <v>128</v>
      </c>
      <c r="G33" s="10" t="s">
        <v>129</v>
      </c>
      <c r="H33" s="10" t="s">
        <v>130</v>
      </c>
      <c r="I33" s="10" t="s">
        <v>131</v>
      </c>
      <c r="J33" s="10" t="s">
        <v>132</v>
      </c>
      <c r="K33" s="10" t="s">
        <v>133</v>
      </c>
    </row>
    <row r="34" customFormat="false" ht="15" hidden="false" customHeight="false" outlineLevel="0" collapsed="false">
      <c r="B34" s="11" t="s">
        <v>67</v>
      </c>
      <c r="C34" s="23" t="n">
        <v>41</v>
      </c>
      <c r="D34" s="23" t="n">
        <v>35</v>
      </c>
      <c r="E34" s="23" t="n">
        <v>36</v>
      </c>
      <c r="F34" s="23" t="n">
        <v>39</v>
      </c>
      <c r="G34" s="24" t="n">
        <f aca="false">IFERROR('Lubes SKU level summary'!U8/C34,0)</f>
        <v>14.6585365853659</v>
      </c>
      <c r="H34" s="24" t="n">
        <f aca="false">IFERROR('Lubes SKU level summary'!X8/D34,0)</f>
        <v>19.4285714285714</v>
      </c>
      <c r="I34" s="24" t="n">
        <f aca="false">IFERROR('Lubes SKU level summary'!Y8/E34,0)</f>
        <v>20.0277777777778</v>
      </c>
      <c r="J34" s="24" t="n">
        <f aca="false">IFERROR('Lubes SKU level summary'!AB8/F34,0)</f>
        <v>22.4102564102564</v>
      </c>
      <c r="K34" s="14" t="n">
        <f aca="false">IFERROR(F34/F$41,0)</f>
        <v>0.975</v>
      </c>
    </row>
    <row r="35" customFormat="false" ht="15" hidden="false" customHeight="false" outlineLevel="0" collapsed="false">
      <c r="B35" s="11" t="s">
        <v>69</v>
      </c>
      <c r="C35" s="23" t="n">
        <v>43</v>
      </c>
      <c r="D35" s="23" t="n">
        <v>37</v>
      </c>
      <c r="E35" s="23" t="n">
        <v>37</v>
      </c>
      <c r="F35" s="23" t="n">
        <v>39</v>
      </c>
      <c r="G35" s="24" t="n">
        <f aca="false">IFERROR('Lubes SKU level summary'!U9/C35,0)</f>
        <v>12.3720930232558</v>
      </c>
      <c r="H35" s="24" t="n">
        <f aca="false">IFERROR('Lubes SKU level summary'!X9/D35,0)</f>
        <v>13</v>
      </c>
      <c r="I35" s="24" t="n">
        <f aca="false">IFERROR('Lubes SKU level summary'!Y9/E35,0)</f>
        <v>16.2972972972973</v>
      </c>
      <c r="J35" s="24" t="n">
        <f aca="false">IFERROR('Lubes SKU level summary'!AB9/F35,0)</f>
        <v>16</v>
      </c>
      <c r="K35" s="14" t="n">
        <f aca="false">IFERROR(F35/F$41,0)</f>
        <v>0.975</v>
      </c>
    </row>
    <row r="36" customFormat="false" ht="15" hidden="false" customHeight="false" outlineLevel="0" collapsed="false">
      <c r="B36" s="11" t="s">
        <v>71</v>
      </c>
      <c r="C36" s="23" t="n">
        <v>39</v>
      </c>
      <c r="D36" s="23" t="n">
        <v>36</v>
      </c>
      <c r="E36" s="23" t="n">
        <v>36</v>
      </c>
      <c r="F36" s="23" t="n">
        <v>39</v>
      </c>
      <c r="G36" s="24" t="n">
        <f aca="false">IFERROR('Lubes SKU level summary'!U10/C36,0)</f>
        <v>6.23076923076923</v>
      </c>
      <c r="H36" s="24" t="n">
        <f aca="false">IFERROR('Lubes SKU level summary'!X10/D36,0)</f>
        <v>7.61111111111111</v>
      </c>
      <c r="I36" s="24" t="n">
        <f aca="false">IFERROR('Lubes SKU level summary'!Y10/E36,0)</f>
        <v>8.80555555555556</v>
      </c>
      <c r="J36" s="24" t="n">
        <f aca="false">IFERROR('Lubes SKU level summary'!AB10/F36,0)</f>
        <v>8.51282051282051</v>
      </c>
      <c r="K36" s="14" t="n">
        <f aca="false">IFERROR(F36/F$41,0)</f>
        <v>0.975</v>
      </c>
    </row>
    <row r="37" customFormat="false" ht="15" hidden="false" customHeight="false" outlineLevel="0" collapsed="false">
      <c r="B37" s="11" t="s">
        <v>73</v>
      </c>
      <c r="C37" s="23" t="n">
        <v>38</v>
      </c>
      <c r="D37" s="23" t="n">
        <v>35</v>
      </c>
      <c r="E37" s="23" t="n">
        <v>36</v>
      </c>
      <c r="F37" s="23" t="n">
        <v>37</v>
      </c>
      <c r="G37" s="24" t="n">
        <f aca="false">IFERROR('Lubes SKU level summary'!U11/C37,0)</f>
        <v>6.86842105263158</v>
      </c>
      <c r="H37" s="24" t="n">
        <f aca="false">IFERROR('Lubes SKU level summary'!X11/D37,0)</f>
        <v>8.11428571428571</v>
      </c>
      <c r="I37" s="24" t="n">
        <f aca="false">IFERROR('Lubes SKU level summary'!Y11/E37,0)</f>
        <v>8.83333333333333</v>
      </c>
      <c r="J37" s="24" t="n">
        <f aca="false">IFERROR('Lubes SKU level summary'!AB11/F37,0)</f>
        <v>8.24324324324324</v>
      </c>
      <c r="K37" s="14" t="n">
        <f aca="false">IFERROR(F37/F$41,0)</f>
        <v>0.925</v>
      </c>
    </row>
    <row r="38" customFormat="false" ht="15" hidden="false" customHeight="false" outlineLevel="0" collapsed="false">
      <c r="B38" s="11" t="s">
        <v>75</v>
      </c>
      <c r="C38" s="23" t="n">
        <v>34</v>
      </c>
      <c r="D38" s="23" t="n">
        <v>34</v>
      </c>
      <c r="E38" s="23" t="n">
        <v>31</v>
      </c>
      <c r="F38" s="23" t="n">
        <v>36</v>
      </c>
      <c r="G38" s="24" t="n">
        <f aca="false">IFERROR('Lubes SKU level summary'!U13/C38,0)</f>
        <v>2.85294117647059</v>
      </c>
      <c r="H38" s="24" t="n">
        <f aca="false">IFERROR('Lubes SKU level summary'!X13/D38,0)</f>
        <v>3.44117647058824</v>
      </c>
      <c r="I38" s="24" t="n">
        <f aca="false">IFERROR('Lubes SKU level summary'!Y13/E38,0)</f>
        <v>3.64516129032258</v>
      </c>
      <c r="J38" s="24" t="n">
        <f aca="false">IFERROR('Lubes SKU level summary'!AB13/F38,0)</f>
        <v>3.80555555555556</v>
      </c>
      <c r="K38" s="14" t="n">
        <f aca="false">IFERROR(F38/F$41,0)</f>
        <v>0.9</v>
      </c>
    </row>
    <row r="39" customFormat="false" ht="15" hidden="false" customHeight="false" outlineLevel="0" collapsed="false">
      <c r="B39" s="11" t="s">
        <v>77</v>
      </c>
      <c r="C39" s="23" t="n">
        <v>14</v>
      </c>
      <c r="D39" s="23" t="n">
        <v>33</v>
      </c>
      <c r="E39" s="23" t="n">
        <v>31</v>
      </c>
      <c r="F39" s="23" t="n">
        <v>37</v>
      </c>
      <c r="G39" s="24" t="n">
        <f aca="false">IFERROR('Lubes SKU level summary'!U14/C39,0)</f>
        <v>1.85714285714286</v>
      </c>
      <c r="H39" s="24" t="n">
        <f aca="false">IFERROR('Lubes SKU level summary'!X14/D39,0)</f>
        <v>2.84848484848485</v>
      </c>
      <c r="I39" s="24" t="n">
        <f aca="false">IFERROR('Lubes SKU level summary'!Y14/E39,0)</f>
        <v>3.09677419354839</v>
      </c>
      <c r="J39" s="24" t="n">
        <f aca="false">IFERROR('Lubes SKU level summary'!AB14/F39,0)</f>
        <v>3.21621621621622</v>
      </c>
      <c r="K39" s="14" t="n">
        <f aca="false">IFERROR(F39/F$41,0)</f>
        <v>0.925</v>
      </c>
    </row>
    <row r="40" customFormat="false" ht="15" hidden="false" customHeight="false" outlineLevel="0" collapsed="false">
      <c r="B40" s="11" t="s">
        <v>79</v>
      </c>
      <c r="C40" s="23" t="n">
        <v>0</v>
      </c>
      <c r="D40" s="23" t="n">
        <v>1</v>
      </c>
      <c r="E40" s="23" t="n">
        <v>0</v>
      </c>
      <c r="F40" s="23" t="n">
        <v>1</v>
      </c>
      <c r="G40" s="24" t="n">
        <f aca="false">IFERROR('Lubes SKU level summary'!U16/C40,0)</f>
        <v>0</v>
      </c>
      <c r="H40" s="24" t="n">
        <f aca="false">IFERROR('Lubes SKU level summary'!X16/D40,0)</f>
        <v>2</v>
      </c>
      <c r="I40" s="24" t="n">
        <f aca="false">IFERROR('Lubes SKU level summary'!Y16/E40,0)</f>
        <v>0</v>
      </c>
      <c r="J40" s="24" t="n">
        <f aca="false">IFERROR('Lubes SKU level summary'!AB16/F40,0)</f>
        <v>1</v>
      </c>
      <c r="K40" s="14" t="n">
        <f aca="false">IFERROR(F40/F$41,0)</f>
        <v>0.025</v>
      </c>
    </row>
    <row r="41" customFormat="false" ht="15" hidden="false" customHeight="false" outlineLevel="0" collapsed="false">
      <c r="B41" s="16" t="s">
        <v>134</v>
      </c>
      <c r="C41" s="25" t="n">
        <v>62</v>
      </c>
      <c r="D41" s="25" t="n">
        <v>37</v>
      </c>
      <c r="E41" s="25" t="n">
        <v>37</v>
      </c>
      <c r="F41" s="25" t="n">
        <v>40</v>
      </c>
      <c r="G41" s="17"/>
      <c r="H41" s="17"/>
      <c r="I41" s="17"/>
      <c r="J41" s="17"/>
      <c r="K41" s="17"/>
    </row>
    <row r="42" customFormat="false" ht="54.75" hidden="false" customHeight="true" outlineLevel="0" collapsed="false">
      <c r="B42" s="22" t="s">
        <v>135</v>
      </c>
      <c r="C42" s="22"/>
      <c r="D42" s="22"/>
      <c r="E42" s="22"/>
      <c r="F42" s="22"/>
      <c r="G42" s="22"/>
      <c r="H42" s="22"/>
      <c r="I42" s="22"/>
      <c r="J42" s="22"/>
      <c r="K42" s="22"/>
    </row>
    <row r="44" customFormat="false" ht="15" hidden="false" customHeight="false" outlineLevel="0" collapsed="false">
      <c r="B44" s="8" t="s">
        <v>136</v>
      </c>
      <c r="C44" s="9"/>
      <c r="D44" s="9"/>
      <c r="E44" s="9"/>
      <c r="F44" s="9"/>
      <c r="G44" s="9"/>
    </row>
    <row r="45" customFormat="false" ht="45" hidden="false" customHeight="true" outlineLevel="0" collapsed="false">
      <c r="B45" s="10" t="s">
        <v>137</v>
      </c>
      <c r="C45" s="10" t="s">
        <v>138</v>
      </c>
      <c r="D45" s="10" t="s">
        <v>139</v>
      </c>
      <c r="E45" s="10" t="s">
        <v>140</v>
      </c>
      <c r="F45" s="26"/>
      <c r="G45" s="26"/>
    </row>
    <row r="46" customFormat="false" ht="75" hidden="false" customHeight="true" outlineLevel="0" collapsed="false">
      <c r="B46" s="15" t="s">
        <v>141</v>
      </c>
      <c r="C46" s="15" t="s">
        <v>142</v>
      </c>
      <c r="D46" s="27" t="s">
        <v>143</v>
      </c>
      <c r="E46" s="15" t="s">
        <v>144</v>
      </c>
      <c r="F46" s="15"/>
      <c r="G46" s="15"/>
    </row>
    <row r="47" customFormat="false" ht="75" hidden="false" customHeight="true" outlineLevel="0" collapsed="false">
      <c r="B47" s="15" t="s">
        <v>145</v>
      </c>
      <c r="C47" s="15" t="s">
        <v>146</v>
      </c>
      <c r="D47" s="27" t="s">
        <v>143</v>
      </c>
      <c r="E47" s="15" t="s">
        <v>147</v>
      </c>
      <c r="F47" s="15"/>
      <c r="G47" s="15"/>
    </row>
    <row r="48" customFormat="false" ht="75" hidden="false" customHeight="true" outlineLevel="0" collapsed="false">
      <c r="B48" s="15" t="s">
        <v>148</v>
      </c>
      <c r="C48" s="15" t="s">
        <v>149</v>
      </c>
      <c r="D48" s="28" t="s">
        <v>150</v>
      </c>
      <c r="E48" s="15" t="s">
        <v>151</v>
      </c>
      <c r="F48" s="15"/>
      <c r="G48" s="15"/>
    </row>
    <row r="49" customFormat="false" ht="75" hidden="false" customHeight="true" outlineLevel="0" collapsed="false">
      <c r="B49" s="15" t="s">
        <v>152</v>
      </c>
      <c r="C49" s="15" t="s">
        <v>153</v>
      </c>
      <c r="D49" s="28" t="s">
        <v>150</v>
      </c>
      <c r="E49" s="15" t="s">
        <v>154</v>
      </c>
      <c r="F49" s="15"/>
      <c r="G49" s="15"/>
    </row>
    <row r="50" customFormat="false" ht="75" hidden="false" customHeight="true" outlineLevel="0" collapsed="false">
      <c r="B50" s="15" t="s">
        <v>155</v>
      </c>
      <c r="C50" s="15" t="s">
        <v>156</v>
      </c>
      <c r="D50" s="27" t="s">
        <v>157</v>
      </c>
      <c r="E50" s="15" t="s">
        <v>158</v>
      </c>
      <c r="F50" s="15"/>
      <c r="G50" s="15"/>
    </row>
    <row r="51" customFormat="false" ht="75" hidden="false" customHeight="true" outlineLevel="0" collapsed="false">
      <c r="B51" s="15" t="s">
        <v>159</v>
      </c>
      <c r="C51" s="15" t="s">
        <v>160</v>
      </c>
      <c r="D51" s="29" t="s">
        <v>161</v>
      </c>
      <c r="E51" s="15" t="s">
        <v>162</v>
      </c>
      <c r="F51" s="15"/>
      <c r="G51" s="15"/>
    </row>
    <row r="52" customFormat="false" ht="75" hidden="false" customHeight="true" outlineLevel="0" collapsed="false">
      <c r="B52" s="15" t="s">
        <v>163</v>
      </c>
      <c r="C52" s="15" t="s">
        <v>164</v>
      </c>
      <c r="D52" s="28" t="s">
        <v>150</v>
      </c>
      <c r="E52" s="15" t="s">
        <v>165</v>
      </c>
      <c r="F52" s="15"/>
      <c r="G52" s="15"/>
    </row>
    <row r="54" customFormat="false" ht="15" hidden="false" customHeight="false" outlineLevel="0" collapsed="false">
      <c r="B54" s="8" t="s">
        <v>166</v>
      </c>
      <c r="C54" s="9"/>
      <c r="D54" s="9"/>
      <c r="E54" s="9"/>
      <c r="F54" s="9"/>
      <c r="G54" s="9"/>
      <c r="H54" s="9"/>
      <c r="I54" s="9"/>
    </row>
    <row r="55" customFormat="false" ht="45" hidden="false" customHeight="true" outlineLevel="0" collapsed="false">
      <c r="B55" s="10" t="s">
        <v>167</v>
      </c>
      <c r="C55" s="10" t="s">
        <v>168</v>
      </c>
      <c r="D55" s="10" t="s">
        <v>169</v>
      </c>
      <c r="E55" s="10" t="s">
        <v>170</v>
      </c>
      <c r="F55" s="10" t="s">
        <v>171</v>
      </c>
      <c r="G55" s="10" t="s">
        <v>3</v>
      </c>
      <c r="H55" s="10" t="s">
        <v>172</v>
      </c>
      <c r="I55" s="10" t="s">
        <v>173</v>
      </c>
    </row>
    <row r="56" customFormat="false" ht="15" hidden="false" customHeight="false" outlineLevel="0" collapsed="false">
      <c r="B56" s="11" t="s">
        <v>174</v>
      </c>
      <c r="C56" s="11" t="s">
        <v>175</v>
      </c>
      <c r="D56" s="13" t="n">
        <f aca="false">SUM('Lubes SKU level summary'!AH10:AK10)/4</f>
        <v>296.75</v>
      </c>
      <c r="E56" s="30" t="n">
        <v>0.8</v>
      </c>
      <c r="F56" s="30" t="n">
        <v>0.4</v>
      </c>
      <c r="G56" s="13" t="n">
        <f aca="false">IFERROR(SUM('Lubes SKU level summary'!P10:S10)/SUM('Lubes SKU level summary'!AH10:AK10),0)</f>
        <v>250.972114574558</v>
      </c>
      <c r="H56" s="13" t="n">
        <f aca="false">D56*E56*(1-F56)*G56</f>
        <v>35748.4680000001</v>
      </c>
      <c r="I56" s="13" t="n">
        <f aca="false">H56*12</f>
        <v>428981.616000001</v>
      </c>
    </row>
    <row r="57" customFormat="false" ht="15" hidden="false" customHeight="false" outlineLevel="0" collapsed="false">
      <c r="B57" s="11" t="s">
        <v>176</v>
      </c>
      <c r="C57" s="11" t="s">
        <v>175</v>
      </c>
      <c r="D57" s="13" t="n">
        <f aca="false">SUM('Lubes SKU level summary'!AH10:AK10)/4</f>
        <v>296.75</v>
      </c>
      <c r="E57" s="30" t="n">
        <v>0.8</v>
      </c>
      <c r="F57" s="30" t="n">
        <v>0.4</v>
      </c>
      <c r="G57" s="13" t="n">
        <f aca="false">IFERROR(SUM('Lubes SKU level summary'!P10:S10)/SUM('Lubes SKU level summary'!AH10:AK10),0)</f>
        <v>250.972114574558</v>
      </c>
      <c r="H57" s="13" t="n">
        <f aca="false">D57*E57*(1-F57)*G57</f>
        <v>35748.4680000001</v>
      </c>
      <c r="I57" s="13" t="n">
        <f aca="false">H57*12</f>
        <v>428981.616000001</v>
      </c>
    </row>
    <row r="58" customFormat="false" ht="15" hidden="false" customHeight="false" outlineLevel="0" collapsed="false">
      <c r="B58" s="11" t="s">
        <v>177</v>
      </c>
      <c r="C58" s="11" t="s">
        <v>178</v>
      </c>
      <c r="D58" s="13" t="n">
        <f aca="false">SUM('Lubes SKU level summary'!AH14:AK14)/4</f>
        <v>99.75</v>
      </c>
      <c r="E58" s="30" t="n">
        <v>0.8</v>
      </c>
      <c r="F58" s="30" t="n">
        <v>0.3</v>
      </c>
      <c r="G58" s="13" t="n">
        <f aca="false">IFERROR(SUM('Lubes SKU level summary'!P14:S14)/SUM('Lubes SKU level summary'!AH14:AK14),0)</f>
        <v>569.492669172933</v>
      </c>
      <c r="H58" s="13" t="n">
        <f aca="false">D58*E58*(1-F58)*G58</f>
        <v>31811.8605</v>
      </c>
      <c r="I58" s="13" t="n">
        <f aca="false">H58*12</f>
        <v>381742.326</v>
      </c>
    </row>
    <row r="59" customFormat="false" ht="15" hidden="false" customHeight="false" outlineLevel="0" collapsed="false">
      <c r="B59" s="16" t="s">
        <v>179</v>
      </c>
      <c r="C59" s="17"/>
      <c r="D59" s="17"/>
      <c r="E59" s="17"/>
      <c r="F59" s="17"/>
      <c r="G59" s="17"/>
      <c r="H59" s="18" t="n">
        <f aca="false">SUM(H56:H58)</f>
        <v>103308.7965</v>
      </c>
      <c r="I59" s="18" t="n">
        <f aca="false">SUM(I56:I58)</f>
        <v>1239705.558</v>
      </c>
      <c r="J59" s="31" t="n">
        <f aca="false">IFERROR(I59/SUM('Lubes SKU level summary'!I17:N17,'Lubes SKU level summary'!P17:S17)*10/12,0)</f>
        <v>0.155208739717646</v>
      </c>
      <c r="K59" s="7" t="s">
        <v>180</v>
      </c>
    </row>
    <row r="60" customFormat="false" ht="42" hidden="false" customHeight="true" outlineLevel="0" collapsed="false">
      <c r="B60" s="22" t="s">
        <v>181</v>
      </c>
      <c r="C60" s="22"/>
      <c r="D60" s="22"/>
      <c r="E60" s="22"/>
      <c r="F60" s="22"/>
      <c r="G60" s="22"/>
      <c r="H60" s="22"/>
      <c r="I60" s="22"/>
    </row>
  </sheetData>
  <mergeCells count="12">
    <mergeCell ref="B24:R24"/>
    <mergeCell ref="B30:I30"/>
    <mergeCell ref="B42:K42"/>
    <mergeCell ref="F45:G45"/>
    <mergeCell ref="E46:G46"/>
    <mergeCell ref="E47:G47"/>
    <mergeCell ref="E48:G48"/>
    <mergeCell ref="E49:G49"/>
    <mergeCell ref="E50:G50"/>
    <mergeCell ref="E51:G51"/>
    <mergeCell ref="E52:G52"/>
    <mergeCell ref="B60:I60"/>
  </mergeCells>
  <conditionalFormatting sqref="F6:F13">
    <cfRule type="cellIs" priority="2" operator="lessThan" aboveAverage="0" equalAverage="0" bottom="0" percent="0" rank="0" text="" dxfId="0">
      <formula>0</formula>
    </cfRule>
  </conditionalFormatting>
  <conditionalFormatting sqref="I6:I13">
    <cfRule type="cellIs" priority="3" operator="lessThan" aboveAverage="0" equalAverage="0" bottom="0" percent="0" rank="0" text="" dxfId="0">
      <formula>0</formula>
    </cfRule>
  </conditionalFormatting>
  <conditionalFormatting sqref="O6:O13">
    <cfRule type="cellIs" priority="4" operator="lessThan" aboveAverage="0" equalAverage="0" bottom="0" percent="0" rank="0" text="" dxfId="0">
      <formula>-0.1</formula>
    </cfRule>
  </conditionalFormatting>
  <conditionalFormatting sqref="L6:L13">
    <cfRule type="cellIs" priority="5" operator="greaterThan" aboveAverage="0" equalAverage="0" bottom="0" percent="0" rank="0" text="" dxfId="0">
      <formula>0.05</formula>
    </cfRule>
  </conditionalFormatting>
  <conditionalFormatting sqref="C20:R20">
    <cfRule type="cellIs" priority="6" operator="greaterThan" aboveAverage="0" equalAverage="0" bottom="0" percent="0" rank="0" text="" dxfId="0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2026-10-13T19:47:49Z</dcterms:created>
  <dc:creator>openpyxl</dc:creator>
  <dc:description/>
  <dc:language>en-US</dc:language>
  <cp:lastModifiedBy/>
  <dcterms:modified xsi:type="dcterms:W3CDTF">2026-10-13T19:47:49Z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